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OneDrive\Desktop\SCLM 415\"/>
    </mc:Choice>
  </mc:AlternateContent>
  <xr:revisionPtr revIDLastSave="0" documentId="13_ncr:1_{F321DAF0-F200-483E-8B9E-3ADCD6BC4730}" xr6:coauthVersionLast="47" xr6:coauthVersionMax="47" xr10:uidLastSave="{00000000-0000-0000-0000-000000000000}"/>
  <bookViews>
    <workbookView xWindow="-108" yWindow="-108" windowWidth="23256" windowHeight="13896" xr2:uid="{4690BF2F-2875-4EA5-B75A-37835E823C6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9" i="1" l="1"/>
  <c r="M89" i="1"/>
  <c r="N89" i="1"/>
  <c r="O89" i="1"/>
  <c r="K89" i="1"/>
  <c r="O87" i="1"/>
  <c r="O88" i="1"/>
  <c r="N87" i="1"/>
  <c r="N88" i="1"/>
  <c r="M87" i="1"/>
  <c r="M88" i="1"/>
  <c r="L87" i="1"/>
  <c r="L88" i="1"/>
  <c r="L86" i="1"/>
  <c r="M86" i="1"/>
  <c r="N86" i="1"/>
  <c r="O86" i="1"/>
  <c r="K87" i="1"/>
  <c r="K88" i="1"/>
  <c r="K86" i="1"/>
  <c r="K52" i="1"/>
  <c r="K67" i="1" s="1"/>
  <c r="K75" i="1" s="1"/>
  <c r="O76" i="1"/>
  <c r="O77" i="1"/>
  <c r="O78" i="1"/>
  <c r="N76" i="1"/>
  <c r="N77" i="1"/>
  <c r="N78" i="1"/>
  <c r="M76" i="1"/>
  <c r="M77" i="1"/>
  <c r="M78" i="1"/>
  <c r="L76" i="1"/>
  <c r="L77" i="1"/>
  <c r="L78" i="1"/>
  <c r="L75" i="1"/>
  <c r="M75" i="1"/>
  <c r="N75" i="1"/>
  <c r="O75" i="1"/>
  <c r="K76" i="1"/>
  <c r="K77" i="1"/>
  <c r="K78" i="1"/>
  <c r="O68" i="1"/>
  <c r="O69" i="1"/>
  <c r="O70" i="1"/>
  <c r="N68" i="1"/>
  <c r="N69" i="1"/>
  <c r="N70" i="1"/>
  <c r="M68" i="1"/>
  <c r="M69" i="1"/>
  <c r="M70" i="1"/>
  <c r="M67" i="1"/>
  <c r="N67" i="1"/>
  <c r="O67" i="1"/>
  <c r="L68" i="1"/>
  <c r="L69" i="1"/>
  <c r="L70" i="1"/>
  <c r="L67" i="1"/>
  <c r="K68" i="1"/>
  <c r="K69" i="1"/>
  <c r="K70" i="1"/>
  <c r="O59" i="1"/>
  <c r="O60" i="1"/>
  <c r="O61" i="1"/>
  <c r="N59" i="1"/>
  <c r="N60" i="1"/>
  <c r="N61" i="1"/>
  <c r="M59" i="1"/>
  <c r="M60" i="1"/>
  <c r="M61" i="1"/>
  <c r="L59" i="1"/>
  <c r="L60" i="1"/>
  <c r="L61" i="1"/>
  <c r="K59" i="1"/>
  <c r="K60" i="1"/>
  <c r="K61" i="1"/>
  <c r="L58" i="1"/>
  <c r="M58" i="1"/>
  <c r="N58" i="1"/>
  <c r="O58" i="1"/>
  <c r="K58" i="1"/>
  <c r="O53" i="1"/>
  <c r="O54" i="1"/>
  <c r="O55" i="1"/>
  <c r="N53" i="1"/>
  <c r="N54" i="1"/>
  <c r="N55" i="1"/>
  <c r="M53" i="1"/>
  <c r="M54" i="1"/>
  <c r="M55" i="1"/>
  <c r="L53" i="1"/>
  <c r="L54" i="1"/>
  <c r="L55" i="1"/>
  <c r="L52" i="1"/>
  <c r="M52" i="1"/>
  <c r="N52" i="1"/>
  <c r="O52" i="1"/>
  <c r="K53" i="1"/>
  <c r="K54" i="1"/>
  <c r="K55" i="1"/>
  <c r="Q46" i="1" l="1"/>
  <c r="N46" i="1"/>
  <c r="O46" i="1"/>
  <c r="P46" i="1"/>
  <c r="M46" i="1"/>
  <c r="J45" i="1"/>
  <c r="J44" i="1"/>
  <c r="J43" i="1"/>
  <c r="N39" i="1"/>
  <c r="O39" i="1"/>
  <c r="P39" i="1"/>
  <c r="Q39" i="1"/>
  <c r="M39" i="1"/>
  <c r="J38" i="1"/>
  <c r="A61" i="1" l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<sst xmlns="http://schemas.openxmlformats.org/spreadsheetml/2006/main" count="189" uniqueCount="37">
  <si>
    <t>Q1</t>
  </si>
  <si>
    <t>Q2</t>
  </si>
  <si>
    <t>Q3</t>
  </si>
  <si>
    <t>Q4</t>
  </si>
  <si>
    <t>Year</t>
  </si>
  <si>
    <t>Quarter</t>
  </si>
  <si>
    <t>Month</t>
  </si>
  <si>
    <t>Tam Thai Tu Soy Sauce</t>
  </si>
  <si>
    <t>Chinsu Soy Sauce</t>
  </si>
  <si>
    <t>Nam Ngu Fish Sauce</t>
  </si>
  <si>
    <t>Omachi instant noodle</t>
  </si>
  <si>
    <t>Bupnon Tea</t>
  </si>
  <si>
    <t>Mean</t>
  </si>
  <si>
    <t>Median</t>
  </si>
  <si>
    <t>Mode</t>
  </si>
  <si>
    <t>Standard Deviation</t>
  </si>
  <si>
    <t>Range</t>
  </si>
  <si>
    <t>Minimum</t>
  </si>
  <si>
    <t>Maximum</t>
  </si>
  <si>
    <t>Sum</t>
  </si>
  <si>
    <t>Count</t>
  </si>
  <si>
    <r>
      <rPr>
        <sz val="11"/>
        <color theme="1"/>
        <rFont val="Calibri"/>
        <family val="2"/>
      </rPr>
      <t>α</t>
    </r>
    <r>
      <rPr>
        <sz val="11"/>
        <color theme="1"/>
        <rFont val="Aptos Narrow"/>
        <family val="2"/>
      </rPr>
      <t xml:space="preserve"> = 0.3</t>
    </r>
  </si>
  <si>
    <t>Forecast units is smaller than actual units:</t>
  </si>
  <si>
    <t>N = 3</t>
  </si>
  <si>
    <t>Grow rate</t>
  </si>
  <si>
    <t>Total units</t>
  </si>
  <si>
    <t>Forecast</t>
  </si>
  <si>
    <t>A.Descriptive Statistic</t>
  </si>
  <si>
    <t>B.Forecasting method</t>
  </si>
  <si>
    <t>1.Linear Regression</t>
  </si>
  <si>
    <t>2.Simple Exponential Smoothing</t>
  </si>
  <si>
    <t>3.Simple Moving Average</t>
  </si>
  <si>
    <t>4.Seasonality</t>
  </si>
  <si>
    <t>5. Weighted Moving Average (optional)</t>
  </si>
  <si>
    <t>A(t)</t>
  </si>
  <si>
    <t>A(t-1)</t>
  </si>
  <si>
    <t>A(t-2)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</si>
</sst>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i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17" fontId="2" fillId="0" borderId="1" xfId="0" applyNumberFormat="1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1" fontId="2" fillId="0" borderId="2" xfId="1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1" fontId="2" fillId="0" borderId="7" xfId="1" applyNumberFormat="1" applyFont="1" applyBorder="1" applyAlignment="1">
      <alignment horizontal="right" vertical="center" wrapText="1"/>
    </xf>
    <xf numFmtId="17" fontId="2" fillId="0" borderId="8" xfId="0" applyNumberFormat="1" applyFont="1" applyBorder="1" applyAlignment="1">
      <alignment horizontal="right" vertical="center" wrapText="1"/>
    </xf>
    <xf numFmtId="3" fontId="2" fillId="0" borderId="8" xfId="0" applyNumberFormat="1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4" fillId="2" borderId="10" xfId="0" applyFont="1" applyFill="1" applyBorder="1" applyAlignment="1">
      <alignment horizontal="center"/>
    </xf>
    <xf numFmtId="0" fontId="0" fillId="2" borderId="10" xfId="0" applyFill="1" applyBorder="1"/>
    <xf numFmtId="0" fontId="4" fillId="3" borderId="10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3" fontId="0" fillId="0" borderId="0" xfId="0" applyNumberForma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1" fontId="0" fillId="2" borderId="10" xfId="0" applyNumberFormat="1" applyFill="1" applyBorder="1"/>
    <xf numFmtId="1" fontId="0" fillId="6" borderId="10" xfId="0" applyNumberFormat="1" applyFill="1" applyBorder="1"/>
    <xf numFmtId="1" fontId="0" fillId="3" borderId="10" xfId="0" applyNumberFormat="1" applyFill="1" applyBorder="1"/>
    <xf numFmtId="1" fontId="0" fillId="4" borderId="10" xfId="0" applyNumberFormat="1" applyFill="1" applyBorder="1"/>
    <xf numFmtId="1" fontId="0" fillId="5" borderId="10" xfId="0" applyNumberFormat="1" applyFill="1" applyBorder="1"/>
    <xf numFmtId="0" fontId="6" fillId="0" borderId="0" xfId="0" applyFont="1"/>
    <xf numFmtId="0" fontId="5" fillId="0" borderId="0" xfId="0" applyFont="1"/>
    <xf numFmtId="1" fontId="2" fillId="0" borderId="1" xfId="1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1" fontId="2" fillId="8" borderId="1" xfId="1" applyNumberFormat="1" applyFont="1" applyFill="1" applyBorder="1" applyAlignment="1">
      <alignment horizontal="right" vertical="center" wrapText="1"/>
    </xf>
    <xf numFmtId="17" fontId="2" fillId="8" borderId="1" xfId="0" applyNumberFormat="1" applyFont="1" applyFill="1" applyBorder="1" applyAlignment="1">
      <alignment horizontal="right" vertical="center" wrapText="1"/>
    </xf>
    <xf numFmtId="3" fontId="2" fillId="8" borderId="1" xfId="0" applyNumberFormat="1" applyFont="1" applyFill="1" applyBorder="1" applyAlignment="1">
      <alignment horizontal="right" vertical="center" wrapText="1"/>
    </xf>
    <xf numFmtId="0" fontId="2" fillId="8" borderId="1" xfId="0" applyFont="1" applyFill="1" applyBorder="1" applyAlignment="1">
      <alignment horizontal="right" vertical="center" wrapText="1"/>
    </xf>
    <xf numFmtId="0" fontId="0" fillId="0" borderId="10" xfId="0" applyBorder="1"/>
    <xf numFmtId="0" fontId="3" fillId="0" borderId="10" xfId="0" applyFont="1" applyBorder="1" applyAlignment="1">
      <alignment vertical="center" wrapText="1"/>
    </xf>
    <xf numFmtId="9" fontId="0" fillId="0" borderId="10" xfId="2" applyFont="1" applyBorder="1"/>
    <xf numFmtId="0" fontId="0" fillId="0" borderId="10" xfId="0" applyBorder="1" applyAlignment="1">
      <alignment horizontal="center" vertical="center"/>
    </xf>
    <xf numFmtId="0" fontId="0" fillId="8" borderId="0" xfId="0" applyFill="1"/>
    <xf numFmtId="0" fontId="0" fillId="8" borderId="10" xfId="0" applyFill="1" applyBorder="1"/>
    <xf numFmtId="1" fontId="0" fillId="8" borderId="10" xfId="2" applyNumberFormat="1" applyFont="1" applyFill="1" applyBorder="1"/>
    <xf numFmtId="0" fontId="0" fillId="7" borderId="10" xfId="0" applyFill="1" applyBorder="1"/>
    <xf numFmtId="1" fontId="0" fillId="7" borderId="10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2" formatCode="mmm\-yy"/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2" formatCode="mmm\-yy"/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Chinsu Soy Sauce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Data!$A$2:$C$61</c15:sqref>
                  </c15:fullRef>
                  <c15:levelRef>
                    <c15:sqref>Data!$B$2:$B$61</c15:sqref>
                  </c15:levelRef>
                </c:ext>
              </c:extLst>
              <c:f>Data!$B$2:$B$61</c:f>
              <c:strCache>
                <c:ptCount val="60"/>
                <c:pt idx="0">
                  <c:v>Q1</c:v>
                </c:pt>
                <c:pt idx="1">
                  <c:v>Q1</c:v>
                </c:pt>
                <c:pt idx="2">
                  <c:v>Q1</c:v>
                </c:pt>
                <c:pt idx="3">
                  <c:v>Q2</c:v>
                </c:pt>
                <c:pt idx="4">
                  <c:v>Q2</c:v>
                </c:pt>
                <c:pt idx="5">
                  <c:v>Q2</c:v>
                </c:pt>
                <c:pt idx="6">
                  <c:v>Q3</c:v>
                </c:pt>
                <c:pt idx="7">
                  <c:v>Q3</c:v>
                </c:pt>
                <c:pt idx="8">
                  <c:v>Q3</c:v>
                </c:pt>
                <c:pt idx="9">
                  <c:v>Q4</c:v>
                </c:pt>
                <c:pt idx="10">
                  <c:v>Q4</c:v>
                </c:pt>
                <c:pt idx="11">
                  <c:v>Q4</c:v>
                </c:pt>
                <c:pt idx="12">
                  <c:v>Q1</c:v>
                </c:pt>
                <c:pt idx="13">
                  <c:v>Q1</c:v>
                </c:pt>
                <c:pt idx="14">
                  <c:v>Q1</c:v>
                </c:pt>
                <c:pt idx="15">
                  <c:v>Q2</c:v>
                </c:pt>
                <c:pt idx="16">
                  <c:v>Q2</c:v>
                </c:pt>
                <c:pt idx="17">
                  <c:v>Q2</c:v>
                </c:pt>
                <c:pt idx="18">
                  <c:v>Q3</c:v>
                </c:pt>
                <c:pt idx="19">
                  <c:v>Q3</c:v>
                </c:pt>
                <c:pt idx="20">
                  <c:v>Q3</c:v>
                </c:pt>
                <c:pt idx="21">
                  <c:v>Q4</c:v>
                </c:pt>
                <c:pt idx="22">
                  <c:v>Q4</c:v>
                </c:pt>
                <c:pt idx="23">
                  <c:v>Q4</c:v>
                </c:pt>
                <c:pt idx="24">
                  <c:v>Q1</c:v>
                </c:pt>
                <c:pt idx="25">
                  <c:v>Q1</c:v>
                </c:pt>
                <c:pt idx="26">
                  <c:v>Q1</c:v>
                </c:pt>
                <c:pt idx="27">
                  <c:v>Q2</c:v>
                </c:pt>
                <c:pt idx="28">
                  <c:v>Q2</c:v>
                </c:pt>
                <c:pt idx="29">
                  <c:v>Q2</c:v>
                </c:pt>
                <c:pt idx="30">
                  <c:v>Q3</c:v>
                </c:pt>
                <c:pt idx="31">
                  <c:v>Q3</c:v>
                </c:pt>
                <c:pt idx="32">
                  <c:v>Q3</c:v>
                </c:pt>
                <c:pt idx="33">
                  <c:v>Q4</c:v>
                </c:pt>
                <c:pt idx="34">
                  <c:v>Q4</c:v>
                </c:pt>
                <c:pt idx="35">
                  <c:v>Q4</c:v>
                </c:pt>
                <c:pt idx="36">
                  <c:v>Q1</c:v>
                </c:pt>
                <c:pt idx="37">
                  <c:v>Q1</c:v>
                </c:pt>
                <c:pt idx="38">
                  <c:v>Q1</c:v>
                </c:pt>
                <c:pt idx="39">
                  <c:v>Q2</c:v>
                </c:pt>
                <c:pt idx="40">
                  <c:v>Q2</c:v>
                </c:pt>
                <c:pt idx="41">
                  <c:v>Q2</c:v>
                </c:pt>
                <c:pt idx="42">
                  <c:v>Q3</c:v>
                </c:pt>
                <c:pt idx="43">
                  <c:v>Q3</c:v>
                </c:pt>
                <c:pt idx="44">
                  <c:v>Q3</c:v>
                </c:pt>
                <c:pt idx="45">
                  <c:v>Q4</c:v>
                </c:pt>
                <c:pt idx="46">
                  <c:v>Q4</c:v>
                </c:pt>
                <c:pt idx="47">
                  <c:v>Q4</c:v>
                </c:pt>
                <c:pt idx="48">
                  <c:v>Q1</c:v>
                </c:pt>
                <c:pt idx="49">
                  <c:v>Q1</c:v>
                </c:pt>
                <c:pt idx="50">
                  <c:v>Q1</c:v>
                </c:pt>
                <c:pt idx="51">
                  <c:v>Q2</c:v>
                </c:pt>
                <c:pt idx="52">
                  <c:v>Q2</c:v>
                </c:pt>
                <c:pt idx="53">
                  <c:v>Q2</c:v>
                </c:pt>
                <c:pt idx="54">
                  <c:v>Q3</c:v>
                </c:pt>
                <c:pt idx="55">
                  <c:v>Q3</c:v>
                </c:pt>
                <c:pt idx="56">
                  <c:v>Q3</c:v>
                </c:pt>
                <c:pt idx="57">
                  <c:v>Q4</c:v>
                </c:pt>
                <c:pt idx="58">
                  <c:v>Q4</c:v>
                </c:pt>
                <c:pt idx="59">
                  <c:v>Q4</c:v>
                </c:pt>
              </c:strCache>
            </c:strRef>
          </c:cat>
          <c:val>
            <c:numRef>
              <c:f>Data!$D$2:$D$61</c:f>
              <c:numCache>
                <c:formatCode>General</c:formatCode>
                <c:ptCount val="60"/>
                <c:pt idx="0" formatCode="#,##0">
                  <c:v>1200</c:v>
                </c:pt>
                <c:pt idx="1">
                  <c:v>800</c:v>
                </c:pt>
                <c:pt idx="2">
                  <c:v>850</c:v>
                </c:pt>
                <c:pt idx="3">
                  <c:v>900</c:v>
                </c:pt>
                <c:pt idx="4">
                  <c:v>920</c:v>
                </c:pt>
                <c:pt idx="5">
                  <c:v>880</c:v>
                </c:pt>
                <c:pt idx="6">
                  <c:v>910</c:v>
                </c:pt>
                <c:pt idx="7">
                  <c:v>950</c:v>
                </c:pt>
                <c:pt idx="8">
                  <c:v>980</c:v>
                </c:pt>
                <c:pt idx="9" formatCode="#,##0">
                  <c:v>1020</c:v>
                </c:pt>
                <c:pt idx="10" formatCode="#,##0">
                  <c:v>1100</c:v>
                </c:pt>
                <c:pt idx="11" formatCode="#,##0">
                  <c:v>1250</c:v>
                </c:pt>
                <c:pt idx="12" formatCode="#,##0">
                  <c:v>1320</c:v>
                </c:pt>
                <c:pt idx="13">
                  <c:v>880</c:v>
                </c:pt>
                <c:pt idx="14">
                  <c:v>930</c:v>
                </c:pt>
                <c:pt idx="15">
                  <c:v>990</c:v>
                </c:pt>
                <c:pt idx="16" formatCode="#,##0">
                  <c:v>1010</c:v>
                </c:pt>
                <c:pt idx="17">
                  <c:v>960</c:v>
                </c:pt>
                <c:pt idx="18" formatCode="#,##0">
                  <c:v>1000</c:v>
                </c:pt>
                <c:pt idx="19" formatCode="#,##0">
                  <c:v>1040</c:v>
                </c:pt>
                <c:pt idx="20" formatCode="#,##0">
                  <c:v>1070</c:v>
                </c:pt>
                <c:pt idx="21" formatCode="#,##0">
                  <c:v>1120</c:v>
                </c:pt>
                <c:pt idx="22" formatCode="#,##0">
                  <c:v>1210</c:v>
                </c:pt>
                <c:pt idx="23" formatCode="#,##0">
                  <c:v>1370</c:v>
                </c:pt>
                <c:pt idx="24" formatCode="#,##0">
                  <c:v>1450</c:v>
                </c:pt>
                <c:pt idx="25">
                  <c:v>960</c:v>
                </c:pt>
                <c:pt idx="26" formatCode="#,##0">
                  <c:v>1020</c:v>
                </c:pt>
                <c:pt idx="27" formatCode="#,##0">
                  <c:v>1080</c:v>
                </c:pt>
                <c:pt idx="28" formatCode="#,##0">
                  <c:v>1110</c:v>
                </c:pt>
                <c:pt idx="29" formatCode="#,##0">
                  <c:v>1050</c:v>
                </c:pt>
                <c:pt idx="30" formatCode="#,##0">
                  <c:v>1100</c:v>
                </c:pt>
                <c:pt idx="31" formatCode="#,##0">
                  <c:v>1140</c:v>
                </c:pt>
                <c:pt idx="32" formatCode="#,##0">
                  <c:v>1180</c:v>
                </c:pt>
                <c:pt idx="33" formatCode="#,##0">
                  <c:v>1230</c:v>
                </c:pt>
                <c:pt idx="34" formatCode="#,##0">
                  <c:v>1330</c:v>
                </c:pt>
                <c:pt idx="35" formatCode="#,##0">
                  <c:v>1500</c:v>
                </c:pt>
                <c:pt idx="36" formatCode="#,##0">
                  <c:v>1590</c:v>
                </c:pt>
                <c:pt idx="37" formatCode="#,##0">
                  <c:v>1050</c:v>
                </c:pt>
                <c:pt idx="38" formatCode="#,##0">
                  <c:v>1120</c:v>
                </c:pt>
                <c:pt idx="39" formatCode="#,##0">
                  <c:v>1190</c:v>
                </c:pt>
                <c:pt idx="40" formatCode="#,##0">
                  <c:v>1220</c:v>
                </c:pt>
                <c:pt idx="41" formatCode="#,##0">
                  <c:v>1150</c:v>
                </c:pt>
                <c:pt idx="42" formatCode="#,##0">
                  <c:v>1210</c:v>
                </c:pt>
                <c:pt idx="43" formatCode="#,##0">
                  <c:v>1250</c:v>
                </c:pt>
                <c:pt idx="44" formatCode="#,##0">
                  <c:v>1300</c:v>
                </c:pt>
                <c:pt idx="45" formatCode="#,##0">
                  <c:v>1350</c:v>
                </c:pt>
                <c:pt idx="46" formatCode="#,##0">
                  <c:v>1460</c:v>
                </c:pt>
                <c:pt idx="47" formatCode="#,##0">
                  <c:v>1650</c:v>
                </c:pt>
                <c:pt idx="48" formatCode="#,##0">
                  <c:v>1750</c:v>
                </c:pt>
                <c:pt idx="49" formatCode="#,##0">
                  <c:v>1160</c:v>
                </c:pt>
                <c:pt idx="50" formatCode="#,##0">
                  <c:v>1230</c:v>
                </c:pt>
                <c:pt idx="51" formatCode="#,##0">
                  <c:v>1310</c:v>
                </c:pt>
                <c:pt idx="52" formatCode="#,##0">
                  <c:v>1340</c:v>
                </c:pt>
                <c:pt idx="53" formatCode="#,##0">
                  <c:v>1270</c:v>
                </c:pt>
                <c:pt idx="54" formatCode="#,##0">
                  <c:v>1330</c:v>
                </c:pt>
                <c:pt idx="55" formatCode="#,##0">
                  <c:v>1380</c:v>
                </c:pt>
                <c:pt idx="56" formatCode="#,##0">
                  <c:v>1430</c:v>
                </c:pt>
                <c:pt idx="57" formatCode="#,##0">
                  <c:v>1490</c:v>
                </c:pt>
                <c:pt idx="58" formatCode="#,##0">
                  <c:v>1610</c:v>
                </c:pt>
                <c:pt idx="59" formatCode="#,##0">
                  <c:v>1810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4-40A2-A9DE-69E966A69659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Tam Thai Tu Soy Sauce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Data!$A$2:$C$61</c15:sqref>
                  </c15:fullRef>
                  <c15:levelRef>
                    <c15:sqref>Data!$B$2:$B$61</c15:sqref>
                  </c15:levelRef>
                </c:ext>
              </c:extLst>
              <c:f>Data!$B$2:$B$61</c:f>
              <c:strCache>
                <c:ptCount val="60"/>
                <c:pt idx="0">
                  <c:v>Q1</c:v>
                </c:pt>
                <c:pt idx="1">
                  <c:v>Q1</c:v>
                </c:pt>
                <c:pt idx="2">
                  <c:v>Q1</c:v>
                </c:pt>
                <c:pt idx="3">
                  <c:v>Q2</c:v>
                </c:pt>
                <c:pt idx="4">
                  <c:v>Q2</c:v>
                </c:pt>
                <c:pt idx="5">
                  <c:v>Q2</c:v>
                </c:pt>
                <c:pt idx="6">
                  <c:v>Q3</c:v>
                </c:pt>
                <c:pt idx="7">
                  <c:v>Q3</c:v>
                </c:pt>
                <c:pt idx="8">
                  <c:v>Q3</c:v>
                </c:pt>
                <c:pt idx="9">
                  <c:v>Q4</c:v>
                </c:pt>
                <c:pt idx="10">
                  <c:v>Q4</c:v>
                </c:pt>
                <c:pt idx="11">
                  <c:v>Q4</c:v>
                </c:pt>
                <c:pt idx="12">
                  <c:v>Q1</c:v>
                </c:pt>
                <c:pt idx="13">
                  <c:v>Q1</c:v>
                </c:pt>
                <c:pt idx="14">
                  <c:v>Q1</c:v>
                </c:pt>
                <c:pt idx="15">
                  <c:v>Q2</c:v>
                </c:pt>
                <c:pt idx="16">
                  <c:v>Q2</c:v>
                </c:pt>
                <c:pt idx="17">
                  <c:v>Q2</c:v>
                </c:pt>
                <c:pt idx="18">
                  <c:v>Q3</c:v>
                </c:pt>
                <c:pt idx="19">
                  <c:v>Q3</c:v>
                </c:pt>
                <c:pt idx="20">
                  <c:v>Q3</c:v>
                </c:pt>
                <c:pt idx="21">
                  <c:v>Q4</c:v>
                </c:pt>
                <c:pt idx="22">
                  <c:v>Q4</c:v>
                </c:pt>
                <c:pt idx="23">
                  <c:v>Q4</c:v>
                </c:pt>
                <c:pt idx="24">
                  <c:v>Q1</c:v>
                </c:pt>
                <c:pt idx="25">
                  <c:v>Q1</c:v>
                </c:pt>
                <c:pt idx="26">
                  <c:v>Q1</c:v>
                </c:pt>
                <c:pt idx="27">
                  <c:v>Q2</c:v>
                </c:pt>
                <c:pt idx="28">
                  <c:v>Q2</c:v>
                </c:pt>
                <c:pt idx="29">
                  <c:v>Q2</c:v>
                </c:pt>
                <c:pt idx="30">
                  <c:v>Q3</c:v>
                </c:pt>
                <c:pt idx="31">
                  <c:v>Q3</c:v>
                </c:pt>
                <c:pt idx="32">
                  <c:v>Q3</c:v>
                </c:pt>
                <c:pt idx="33">
                  <c:v>Q4</c:v>
                </c:pt>
                <c:pt idx="34">
                  <c:v>Q4</c:v>
                </c:pt>
                <c:pt idx="35">
                  <c:v>Q4</c:v>
                </c:pt>
                <c:pt idx="36">
                  <c:v>Q1</c:v>
                </c:pt>
                <c:pt idx="37">
                  <c:v>Q1</c:v>
                </c:pt>
                <c:pt idx="38">
                  <c:v>Q1</c:v>
                </c:pt>
                <c:pt idx="39">
                  <c:v>Q2</c:v>
                </c:pt>
                <c:pt idx="40">
                  <c:v>Q2</c:v>
                </c:pt>
                <c:pt idx="41">
                  <c:v>Q2</c:v>
                </c:pt>
                <c:pt idx="42">
                  <c:v>Q3</c:v>
                </c:pt>
                <c:pt idx="43">
                  <c:v>Q3</c:v>
                </c:pt>
                <c:pt idx="44">
                  <c:v>Q3</c:v>
                </c:pt>
                <c:pt idx="45">
                  <c:v>Q4</c:v>
                </c:pt>
                <c:pt idx="46">
                  <c:v>Q4</c:v>
                </c:pt>
                <c:pt idx="47">
                  <c:v>Q4</c:v>
                </c:pt>
                <c:pt idx="48">
                  <c:v>Q1</c:v>
                </c:pt>
                <c:pt idx="49">
                  <c:v>Q1</c:v>
                </c:pt>
                <c:pt idx="50">
                  <c:v>Q1</c:v>
                </c:pt>
                <c:pt idx="51">
                  <c:v>Q2</c:v>
                </c:pt>
                <c:pt idx="52">
                  <c:v>Q2</c:v>
                </c:pt>
                <c:pt idx="53">
                  <c:v>Q2</c:v>
                </c:pt>
                <c:pt idx="54">
                  <c:v>Q3</c:v>
                </c:pt>
                <c:pt idx="55">
                  <c:v>Q3</c:v>
                </c:pt>
                <c:pt idx="56">
                  <c:v>Q3</c:v>
                </c:pt>
                <c:pt idx="57">
                  <c:v>Q4</c:v>
                </c:pt>
                <c:pt idx="58">
                  <c:v>Q4</c:v>
                </c:pt>
                <c:pt idx="59">
                  <c:v>Q4</c:v>
                </c:pt>
              </c:strCache>
            </c:strRef>
          </c:cat>
          <c:val>
            <c:numRef>
              <c:f>Data!$E$2:$E$61</c:f>
              <c:numCache>
                <c:formatCode>General</c:formatCode>
                <c:ptCount val="60"/>
                <c:pt idx="0">
                  <c:v>950</c:v>
                </c:pt>
                <c:pt idx="1">
                  <c:v>650</c:v>
                </c:pt>
                <c:pt idx="2">
                  <c:v>680</c:v>
                </c:pt>
                <c:pt idx="3">
                  <c:v>710</c:v>
                </c:pt>
                <c:pt idx="4">
                  <c:v>720</c:v>
                </c:pt>
                <c:pt idx="5">
                  <c:v>700</c:v>
                </c:pt>
                <c:pt idx="6">
                  <c:v>715</c:v>
                </c:pt>
                <c:pt idx="7">
                  <c:v>740</c:v>
                </c:pt>
                <c:pt idx="8">
                  <c:v>760</c:v>
                </c:pt>
                <c:pt idx="9">
                  <c:v>800</c:v>
                </c:pt>
                <c:pt idx="10">
                  <c:v>880</c:v>
                </c:pt>
                <c:pt idx="11">
                  <c:v>980</c:v>
                </c:pt>
                <c:pt idx="12" formatCode="#,##0">
                  <c:v>1040</c:v>
                </c:pt>
                <c:pt idx="13">
                  <c:v>710</c:v>
                </c:pt>
                <c:pt idx="14">
                  <c:v>750</c:v>
                </c:pt>
                <c:pt idx="15">
                  <c:v>780</c:v>
                </c:pt>
                <c:pt idx="16">
                  <c:v>790</c:v>
                </c:pt>
                <c:pt idx="17">
                  <c:v>770</c:v>
                </c:pt>
                <c:pt idx="18">
                  <c:v>780</c:v>
                </c:pt>
                <c:pt idx="19">
                  <c:v>810</c:v>
                </c:pt>
                <c:pt idx="20">
                  <c:v>830</c:v>
                </c:pt>
                <c:pt idx="21">
                  <c:v>880</c:v>
                </c:pt>
                <c:pt idx="22">
                  <c:v>960</c:v>
                </c:pt>
                <c:pt idx="23" formatCode="#,##0">
                  <c:v>1070</c:v>
                </c:pt>
                <c:pt idx="24" formatCode="#,##0">
                  <c:v>1140</c:v>
                </c:pt>
                <c:pt idx="25">
                  <c:v>780</c:v>
                </c:pt>
                <c:pt idx="26">
                  <c:v>820</c:v>
                </c:pt>
                <c:pt idx="27">
                  <c:v>860</c:v>
                </c:pt>
                <c:pt idx="28">
                  <c:v>870</c:v>
                </c:pt>
                <c:pt idx="29">
                  <c:v>840</c:v>
                </c:pt>
                <c:pt idx="30">
                  <c:v>860</c:v>
                </c:pt>
                <c:pt idx="31">
                  <c:v>890</c:v>
                </c:pt>
                <c:pt idx="32">
                  <c:v>910</c:v>
                </c:pt>
                <c:pt idx="33">
                  <c:v>960</c:v>
                </c:pt>
                <c:pt idx="34" formatCode="#,##0">
                  <c:v>1050</c:v>
                </c:pt>
                <c:pt idx="35" formatCode="#,##0">
                  <c:v>1180</c:v>
                </c:pt>
                <c:pt idx="36" formatCode="#,##0">
                  <c:v>1250</c:v>
                </c:pt>
                <c:pt idx="37">
                  <c:v>850</c:v>
                </c:pt>
                <c:pt idx="38">
                  <c:v>900</c:v>
                </c:pt>
                <c:pt idx="39">
                  <c:v>940</c:v>
                </c:pt>
                <c:pt idx="40">
                  <c:v>950</c:v>
                </c:pt>
                <c:pt idx="41">
                  <c:v>920</c:v>
                </c:pt>
                <c:pt idx="42">
                  <c:v>940</c:v>
                </c:pt>
                <c:pt idx="43">
                  <c:v>980</c:v>
                </c:pt>
                <c:pt idx="44" formatCode="#,##0">
                  <c:v>1000</c:v>
                </c:pt>
                <c:pt idx="45" formatCode="#,##0">
                  <c:v>1060</c:v>
                </c:pt>
                <c:pt idx="46" formatCode="#,##0">
                  <c:v>1150</c:v>
                </c:pt>
                <c:pt idx="47" formatCode="#,##0">
                  <c:v>1290</c:v>
                </c:pt>
                <c:pt idx="48" formatCode="#,##0">
                  <c:v>1380</c:v>
                </c:pt>
                <c:pt idx="49">
                  <c:v>940</c:v>
                </c:pt>
                <c:pt idx="50">
                  <c:v>990</c:v>
                </c:pt>
                <c:pt idx="51" formatCode="#,##0">
                  <c:v>1040</c:v>
                </c:pt>
                <c:pt idx="52" formatCode="#,##0">
                  <c:v>1050</c:v>
                </c:pt>
                <c:pt idx="53" formatCode="#,##0">
                  <c:v>1010</c:v>
                </c:pt>
                <c:pt idx="54" formatCode="#,##0">
                  <c:v>1040</c:v>
                </c:pt>
                <c:pt idx="55" formatCode="#,##0">
                  <c:v>1080</c:v>
                </c:pt>
                <c:pt idx="56" formatCode="#,##0">
                  <c:v>1100</c:v>
                </c:pt>
                <c:pt idx="57" formatCode="#,##0">
                  <c:v>1170</c:v>
                </c:pt>
                <c:pt idx="58" formatCode="#,##0">
                  <c:v>1270</c:v>
                </c:pt>
                <c:pt idx="59" formatCode="#,##0">
                  <c:v>1420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4-40A2-A9DE-69E966A69659}"/>
            </c:ext>
          </c:extLst>
        </c:ser>
        <c:ser>
          <c:idx val="2"/>
          <c:order val="2"/>
          <c:tx>
            <c:strRef>
              <c:f>Data!$F$1</c:f>
              <c:strCache>
                <c:ptCount val="1"/>
                <c:pt idx="0">
                  <c:v>Nam Ngu Fish Sauce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Data!$A$2:$C$61</c15:sqref>
                  </c15:fullRef>
                  <c15:levelRef>
                    <c15:sqref>Data!$B$2:$B$61</c15:sqref>
                  </c15:levelRef>
                </c:ext>
              </c:extLst>
              <c:f>Data!$B$2:$B$61</c:f>
              <c:strCache>
                <c:ptCount val="60"/>
                <c:pt idx="0">
                  <c:v>Q1</c:v>
                </c:pt>
                <c:pt idx="1">
                  <c:v>Q1</c:v>
                </c:pt>
                <c:pt idx="2">
                  <c:v>Q1</c:v>
                </c:pt>
                <c:pt idx="3">
                  <c:v>Q2</c:v>
                </c:pt>
                <c:pt idx="4">
                  <c:v>Q2</c:v>
                </c:pt>
                <c:pt idx="5">
                  <c:v>Q2</c:v>
                </c:pt>
                <c:pt idx="6">
                  <c:v>Q3</c:v>
                </c:pt>
                <c:pt idx="7">
                  <c:v>Q3</c:v>
                </c:pt>
                <c:pt idx="8">
                  <c:v>Q3</c:v>
                </c:pt>
                <c:pt idx="9">
                  <c:v>Q4</c:v>
                </c:pt>
                <c:pt idx="10">
                  <c:v>Q4</c:v>
                </c:pt>
                <c:pt idx="11">
                  <c:v>Q4</c:v>
                </c:pt>
                <c:pt idx="12">
                  <c:v>Q1</c:v>
                </c:pt>
                <c:pt idx="13">
                  <c:v>Q1</c:v>
                </c:pt>
                <c:pt idx="14">
                  <c:v>Q1</c:v>
                </c:pt>
                <c:pt idx="15">
                  <c:v>Q2</c:v>
                </c:pt>
                <c:pt idx="16">
                  <c:v>Q2</c:v>
                </c:pt>
                <c:pt idx="17">
                  <c:v>Q2</c:v>
                </c:pt>
                <c:pt idx="18">
                  <c:v>Q3</c:v>
                </c:pt>
                <c:pt idx="19">
                  <c:v>Q3</c:v>
                </c:pt>
                <c:pt idx="20">
                  <c:v>Q3</c:v>
                </c:pt>
                <c:pt idx="21">
                  <c:v>Q4</c:v>
                </c:pt>
                <c:pt idx="22">
                  <c:v>Q4</c:v>
                </c:pt>
                <c:pt idx="23">
                  <c:v>Q4</c:v>
                </c:pt>
                <c:pt idx="24">
                  <c:v>Q1</c:v>
                </c:pt>
                <c:pt idx="25">
                  <c:v>Q1</c:v>
                </c:pt>
                <c:pt idx="26">
                  <c:v>Q1</c:v>
                </c:pt>
                <c:pt idx="27">
                  <c:v>Q2</c:v>
                </c:pt>
                <c:pt idx="28">
                  <c:v>Q2</c:v>
                </c:pt>
                <c:pt idx="29">
                  <c:v>Q2</c:v>
                </c:pt>
                <c:pt idx="30">
                  <c:v>Q3</c:v>
                </c:pt>
                <c:pt idx="31">
                  <c:v>Q3</c:v>
                </c:pt>
                <c:pt idx="32">
                  <c:v>Q3</c:v>
                </c:pt>
                <c:pt idx="33">
                  <c:v>Q4</c:v>
                </c:pt>
                <c:pt idx="34">
                  <c:v>Q4</c:v>
                </c:pt>
                <c:pt idx="35">
                  <c:v>Q4</c:v>
                </c:pt>
                <c:pt idx="36">
                  <c:v>Q1</c:v>
                </c:pt>
                <c:pt idx="37">
                  <c:v>Q1</c:v>
                </c:pt>
                <c:pt idx="38">
                  <c:v>Q1</c:v>
                </c:pt>
                <c:pt idx="39">
                  <c:v>Q2</c:v>
                </c:pt>
                <c:pt idx="40">
                  <c:v>Q2</c:v>
                </c:pt>
                <c:pt idx="41">
                  <c:v>Q2</c:v>
                </c:pt>
                <c:pt idx="42">
                  <c:v>Q3</c:v>
                </c:pt>
                <c:pt idx="43">
                  <c:v>Q3</c:v>
                </c:pt>
                <c:pt idx="44">
                  <c:v>Q3</c:v>
                </c:pt>
                <c:pt idx="45">
                  <c:v>Q4</c:v>
                </c:pt>
                <c:pt idx="46">
                  <c:v>Q4</c:v>
                </c:pt>
                <c:pt idx="47">
                  <c:v>Q4</c:v>
                </c:pt>
                <c:pt idx="48">
                  <c:v>Q1</c:v>
                </c:pt>
                <c:pt idx="49">
                  <c:v>Q1</c:v>
                </c:pt>
                <c:pt idx="50">
                  <c:v>Q1</c:v>
                </c:pt>
                <c:pt idx="51">
                  <c:v>Q2</c:v>
                </c:pt>
                <c:pt idx="52">
                  <c:v>Q2</c:v>
                </c:pt>
                <c:pt idx="53">
                  <c:v>Q2</c:v>
                </c:pt>
                <c:pt idx="54">
                  <c:v>Q3</c:v>
                </c:pt>
                <c:pt idx="55">
                  <c:v>Q3</c:v>
                </c:pt>
                <c:pt idx="56">
                  <c:v>Q3</c:v>
                </c:pt>
                <c:pt idx="57">
                  <c:v>Q4</c:v>
                </c:pt>
                <c:pt idx="58">
                  <c:v>Q4</c:v>
                </c:pt>
                <c:pt idx="59">
                  <c:v>Q4</c:v>
                </c:pt>
              </c:strCache>
            </c:strRef>
          </c:cat>
          <c:val>
            <c:numRef>
              <c:f>Data!$F$2:$F$61</c:f>
              <c:numCache>
                <c:formatCode>#,##0</c:formatCode>
                <c:ptCount val="60"/>
                <c:pt idx="0">
                  <c:v>2500</c:v>
                </c:pt>
                <c:pt idx="1">
                  <c:v>1500</c:v>
                </c:pt>
                <c:pt idx="2">
                  <c:v>1650</c:v>
                </c:pt>
                <c:pt idx="3">
                  <c:v>1700</c:v>
                </c:pt>
                <c:pt idx="4">
                  <c:v>1750</c:v>
                </c:pt>
                <c:pt idx="5">
                  <c:v>1680</c:v>
                </c:pt>
                <c:pt idx="6">
                  <c:v>1720</c:v>
                </c:pt>
                <c:pt idx="7">
                  <c:v>1800</c:v>
                </c:pt>
                <c:pt idx="8">
                  <c:v>1850</c:v>
                </c:pt>
                <c:pt idx="9">
                  <c:v>1950</c:v>
                </c:pt>
                <c:pt idx="10">
                  <c:v>2200</c:v>
                </c:pt>
                <c:pt idx="11">
                  <c:v>2600</c:v>
                </c:pt>
                <c:pt idx="12">
                  <c:v>2750</c:v>
                </c:pt>
                <c:pt idx="13">
                  <c:v>1650</c:v>
                </c:pt>
                <c:pt idx="14">
                  <c:v>1810</c:v>
                </c:pt>
                <c:pt idx="15">
                  <c:v>1870</c:v>
                </c:pt>
                <c:pt idx="16">
                  <c:v>1920</c:v>
                </c:pt>
                <c:pt idx="17">
                  <c:v>1850</c:v>
                </c:pt>
                <c:pt idx="18">
                  <c:v>1890</c:v>
                </c:pt>
                <c:pt idx="19">
                  <c:v>1980</c:v>
                </c:pt>
                <c:pt idx="20">
                  <c:v>2030</c:v>
                </c:pt>
                <c:pt idx="21">
                  <c:v>2140</c:v>
                </c:pt>
                <c:pt idx="22">
                  <c:v>2420</c:v>
                </c:pt>
                <c:pt idx="23">
                  <c:v>2860</c:v>
                </c:pt>
                <c:pt idx="24">
                  <c:v>3020</c:v>
                </c:pt>
                <c:pt idx="25">
                  <c:v>1810</c:v>
                </c:pt>
                <c:pt idx="26">
                  <c:v>1990</c:v>
                </c:pt>
                <c:pt idx="27">
                  <c:v>2050</c:v>
                </c:pt>
                <c:pt idx="28">
                  <c:v>2110</c:v>
                </c:pt>
                <c:pt idx="29">
                  <c:v>2030</c:v>
                </c:pt>
                <c:pt idx="30">
                  <c:v>2080</c:v>
                </c:pt>
                <c:pt idx="31">
                  <c:v>2170</c:v>
                </c:pt>
                <c:pt idx="32">
                  <c:v>2230</c:v>
                </c:pt>
                <c:pt idx="33">
                  <c:v>2350</c:v>
                </c:pt>
                <c:pt idx="34">
                  <c:v>2660</c:v>
                </c:pt>
                <c:pt idx="35">
                  <c:v>3140</c:v>
                </c:pt>
                <c:pt idx="36">
                  <c:v>3320</c:v>
                </c:pt>
                <c:pt idx="37">
                  <c:v>1990</c:v>
                </c:pt>
                <c:pt idx="38">
                  <c:v>2190</c:v>
                </c:pt>
                <c:pt idx="39">
                  <c:v>2250</c:v>
                </c:pt>
                <c:pt idx="40">
                  <c:v>2320</c:v>
                </c:pt>
                <c:pt idx="41">
                  <c:v>2230</c:v>
                </c:pt>
                <c:pt idx="42">
                  <c:v>2280</c:v>
                </c:pt>
                <c:pt idx="43">
                  <c:v>2390</c:v>
                </c:pt>
                <c:pt idx="44">
                  <c:v>2450</c:v>
                </c:pt>
                <c:pt idx="45">
                  <c:v>2580</c:v>
                </c:pt>
                <c:pt idx="46">
                  <c:v>2920</c:v>
                </c:pt>
                <c:pt idx="47">
                  <c:v>3450</c:v>
                </c:pt>
                <c:pt idx="48">
                  <c:v>3650</c:v>
                </c:pt>
                <c:pt idx="49">
                  <c:v>2190</c:v>
                </c:pt>
                <c:pt idx="50">
                  <c:v>2410</c:v>
                </c:pt>
                <c:pt idx="51">
                  <c:v>2480</c:v>
                </c:pt>
                <c:pt idx="52">
                  <c:v>2550</c:v>
                </c:pt>
                <c:pt idx="53">
                  <c:v>2450</c:v>
                </c:pt>
                <c:pt idx="54">
                  <c:v>2510</c:v>
                </c:pt>
                <c:pt idx="55">
                  <c:v>2630</c:v>
                </c:pt>
                <c:pt idx="56">
                  <c:v>2700</c:v>
                </c:pt>
                <c:pt idx="57">
                  <c:v>2840</c:v>
                </c:pt>
                <c:pt idx="58">
                  <c:v>3210</c:v>
                </c:pt>
                <c:pt idx="59">
                  <c:v>3790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94-40A2-A9DE-69E966A69659}"/>
            </c:ext>
          </c:extLst>
        </c:ser>
        <c:ser>
          <c:idx val="3"/>
          <c:order val="3"/>
          <c:tx>
            <c:strRef>
              <c:f>Data!$G$1</c:f>
              <c:strCache>
                <c:ptCount val="1"/>
                <c:pt idx="0">
                  <c:v>Omachi instant noodle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Data!$A$2:$C$61</c15:sqref>
                  </c15:fullRef>
                  <c15:levelRef>
                    <c15:sqref>Data!$B$2:$B$61</c15:sqref>
                  </c15:levelRef>
                </c:ext>
              </c:extLst>
              <c:f>Data!$B$2:$B$61</c:f>
              <c:strCache>
                <c:ptCount val="60"/>
                <c:pt idx="0">
                  <c:v>Q1</c:v>
                </c:pt>
                <c:pt idx="1">
                  <c:v>Q1</c:v>
                </c:pt>
                <c:pt idx="2">
                  <c:v>Q1</c:v>
                </c:pt>
                <c:pt idx="3">
                  <c:v>Q2</c:v>
                </c:pt>
                <c:pt idx="4">
                  <c:v>Q2</c:v>
                </c:pt>
                <c:pt idx="5">
                  <c:v>Q2</c:v>
                </c:pt>
                <c:pt idx="6">
                  <c:v>Q3</c:v>
                </c:pt>
                <c:pt idx="7">
                  <c:v>Q3</c:v>
                </c:pt>
                <c:pt idx="8">
                  <c:v>Q3</c:v>
                </c:pt>
                <c:pt idx="9">
                  <c:v>Q4</c:v>
                </c:pt>
                <c:pt idx="10">
                  <c:v>Q4</c:v>
                </c:pt>
                <c:pt idx="11">
                  <c:v>Q4</c:v>
                </c:pt>
                <c:pt idx="12">
                  <c:v>Q1</c:v>
                </c:pt>
                <c:pt idx="13">
                  <c:v>Q1</c:v>
                </c:pt>
                <c:pt idx="14">
                  <c:v>Q1</c:v>
                </c:pt>
                <c:pt idx="15">
                  <c:v>Q2</c:v>
                </c:pt>
                <c:pt idx="16">
                  <c:v>Q2</c:v>
                </c:pt>
                <c:pt idx="17">
                  <c:v>Q2</c:v>
                </c:pt>
                <c:pt idx="18">
                  <c:v>Q3</c:v>
                </c:pt>
                <c:pt idx="19">
                  <c:v>Q3</c:v>
                </c:pt>
                <c:pt idx="20">
                  <c:v>Q3</c:v>
                </c:pt>
                <c:pt idx="21">
                  <c:v>Q4</c:v>
                </c:pt>
                <c:pt idx="22">
                  <c:v>Q4</c:v>
                </c:pt>
                <c:pt idx="23">
                  <c:v>Q4</c:v>
                </c:pt>
                <c:pt idx="24">
                  <c:v>Q1</c:v>
                </c:pt>
                <c:pt idx="25">
                  <c:v>Q1</c:v>
                </c:pt>
                <c:pt idx="26">
                  <c:v>Q1</c:v>
                </c:pt>
                <c:pt idx="27">
                  <c:v>Q2</c:v>
                </c:pt>
                <c:pt idx="28">
                  <c:v>Q2</c:v>
                </c:pt>
                <c:pt idx="29">
                  <c:v>Q2</c:v>
                </c:pt>
                <c:pt idx="30">
                  <c:v>Q3</c:v>
                </c:pt>
                <c:pt idx="31">
                  <c:v>Q3</c:v>
                </c:pt>
                <c:pt idx="32">
                  <c:v>Q3</c:v>
                </c:pt>
                <c:pt idx="33">
                  <c:v>Q4</c:v>
                </c:pt>
                <c:pt idx="34">
                  <c:v>Q4</c:v>
                </c:pt>
                <c:pt idx="35">
                  <c:v>Q4</c:v>
                </c:pt>
                <c:pt idx="36">
                  <c:v>Q1</c:v>
                </c:pt>
                <c:pt idx="37">
                  <c:v>Q1</c:v>
                </c:pt>
                <c:pt idx="38">
                  <c:v>Q1</c:v>
                </c:pt>
                <c:pt idx="39">
                  <c:v>Q2</c:v>
                </c:pt>
                <c:pt idx="40">
                  <c:v>Q2</c:v>
                </c:pt>
                <c:pt idx="41">
                  <c:v>Q2</c:v>
                </c:pt>
                <c:pt idx="42">
                  <c:v>Q3</c:v>
                </c:pt>
                <c:pt idx="43">
                  <c:v>Q3</c:v>
                </c:pt>
                <c:pt idx="44">
                  <c:v>Q3</c:v>
                </c:pt>
                <c:pt idx="45">
                  <c:v>Q4</c:v>
                </c:pt>
                <c:pt idx="46">
                  <c:v>Q4</c:v>
                </c:pt>
                <c:pt idx="47">
                  <c:v>Q4</c:v>
                </c:pt>
                <c:pt idx="48">
                  <c:v>Q1</c:v>
                </c:pt>
                <c:pt idx="49">
                  <c:v>Q1</c:v>
                </c:pt>
                <c:pt idx="50">
                  <c:v>Q1</c:v>
                </c:pt>
                <c:pt idx="51">
                  <c:v>Q2</c:v>
                </c:pt>
                <c:pt idx="52">
                  <c:v>Q2</c:v>
                </c:pt>
                <c:pt idx="53">
                  <c:v>Q2</c:v>
                </c:pt>
                <c:pt idx="54">
                  <c:v>Q3</c:v>
                </c:pt>
                <c:pt idx="55">
                  <c:v>Q3</c:v>
                </c:pt>
                <c:pt idx="56">
                  <c:v>Q3</c:v>
                </c:pt>
                <c:pt idx="57">
                  <c:v>Q4</c:v>
                </c:pt>
                <c:pt idx="58">
                  <c:v>Q4</c:v>
                </c:pt>
                <c:pt idx="59">
                  <c:v>Q4</c:v>
                </c:pt>
              </c:strCache>
            </c:strRef>
          </c:cat>
          <c:val>
            <c:numRef>
              <c:f>Data!$G$2:$G$61</c:f>
              <c:numCache>
                <c:formatCode>#,##0</c:formatCode>
                <c:ptCount val="60"/>
                <c:pt idx="0">
                  <c:v>1850</c:v>
                </c:pt>
                <c:pt idx="1">
                  <c:v>1200</c:v>
                </c:pt>
                <c:pt idx="2">
                  <c:v>1250</c:v>
                </c:pt>
                <c:pt idx="3">
                  <c:v>1300</c:v>
                </c:pt>
                <c:pt idx="4">
                  <c:v>1320</c:v>
                </c:pt>
                <c:pt idx="5">
                  <c:v>1280</c:v>
                </c:pt>
                <c:pt idx="6">
                  <c:v>1310</c:v>
                </c:pt>
                <c:pt idx="7">
                  <c:v>1350</c:v>
                </c:pt>
                <c:pt idx="8">
                  <c:v>1400</c:v>
                </c:pt>
                <c:pt idx="9">
                  <c:v>1450</c:v>
                </c:pt>
                <c:pt idx="10">
                  <c:v>1600</c:v>
                </c:pt>
                <c:pt idx="11">
                  <c:v>1950</c:v>
                </c:pt>
                <c:pt idx="12">
                  <c:v>2050</c:v>
                </c:pt>
                <c:pt idx="13">
                  <c:v>1320</c:v>
                </c:pt>
                <c:pt idx="14">
                  <c:v>1370</c:v>
                </c:pt>
                <c:pt idx="15">
                  <c:v>1430</c:v>
                </c:pt>
                <c:pt idx="16">
                  <c:v>1450</c:v>
                </c:pt>
                <c:pt idx="17">
                  <c:v>1410</c:v>
                </c:pt>
                <c:pt idx="18">
                  <c:v>1440</c:v>
                </c:pt>
                <c:pt idx="19">
                  <c:v>1480</c:v>
                </c:pt>
                <c:pt idx="20">
                  <c:v>1540</c:v>
                </c:pt>
                <c:pt idx="21">
                  <c:v>1590</c:v>
                </c:pt>
                <c:pt idx="22">
                  <c:v>1760</c:v>
                </c:pt>
                <c:pt idx="23">
                  <c:v>2140</c:v>
                </c:pt>
                <c:pt idx="24">
                  <c:v>2250</c:v>
                </c:pt>
                <c:pt idx="25">
                  <c:v>1450</c:v>
                </c:pt>
                <c:pt idx="26">
                  <c:v>1500</c:v>
                </c:pt>
                <c:pt idx="27">
                  <c:v>1570</c:v>
                </c:pt>
                <c:pt idx="28">
                  <c:v>1590</c:v>
                </c:pt>
                <c:pt idx="29">
                  <c:v>1550</c:v>
                </c:pt>
                <c:pt idx="30">
                  <c:v>1580</c:v>
                </c:pt>
                <c:pt idx="31">
                  <c:v>1630</c:v>
                </c:pt>
                <c:pt idx="32">
                  <c:v>1690</c:v>
                </c:pt>
                <c:pt idx="33">
                  <c:v>1750</c:v>
                </c:pt>
                <c:pt idx="34">
                  <c:v>1930</c:v>
                </c:pt>
                <c:pt idx="35">
                  <c:v>2350</c:v>
                </c:pt>
                <c:pt idx="36">
                  <c:v>2470</c:v>
                </c:pt>
                <c:pt idx="37">
                  <c:v>1590</c:v>
                </c:pt>
                <c:pt idx="38">
                  <c:v>1650</c:v>
                </c:pt>
                <c:pt idx="39">
                  <c:v>1720</c:v>
                </c:pt>
                <c:pt idx="40">
                  <c:v>1750</c:v>
                </c:pt>
                <c:pt idx="41">
                  <c:v>1700</c:v>
                </c:pt>
                <c:pt idx="42">
                  <c:v>1740</c:v>
                </c:pt>
                <c:pt idx="43">
                  <c:v>1790</c:v>
                </c:pt>
                <c:pt idx="44">
                  <c:v>1860</c:v>
                </c:pt>
                <c:pt idx="45">
                  <c:v>1920</c:v>
                </c:pt>
                <c:pt idx="46">
                  <c:v>2120</c:v>
                </c:pt>
                <c:pt idx="47">
                  <c:v>2580</c:v>
                </c:pt>
                <c:pt idx="48">
                  <c:v>2720</c:v>
                </c:pt>
                <c:pt idx="49">
                  <c:v>1750</c:v>
                </c:pt>
                <c:pt idx="50">
                  <c:v>1810</c:v>
                </c:pt>
                <c:pt idx="51">
                  <c:v>1890</c:v>
                </c:pt>
                <c:pt idx="52">
                  <c:v>1920</c:v>
                </c:pt>
                <c:pt idx="53">
                  <c:v>1870</c:v>
                </c:pt>
                <c:pt idx="54">
                  <c:v>1910</c:v>
                </c:pt>
                <c:pt idx="55">
                  <c:v>1970</c:v>
                </c:pt>
                <c:pt idx="56">
                  <c:v>2050</c:v>
                </c:pt>
                <c:pt idx="57">
                  <c:v>2110</c:v>
                </c:pt>
                <c:pt idx="58">
                  <c:v>2330</c:v>
                </c:pt>
                <c:pt idx="59">
                  <c:v>2840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94-40A2-A9DE-69E966A69659}"/>
            </c:ext>
          </c:extLst>
        </c:ser>
        <c:ser>
          <c:idx val="4"/>
          <c:order val="4"/>
          <c:tx>
            <c:strRef>
              <c:f>Data!$H$1</c:f>
              <c:strCache>
                <c:ptCount val="1"/>
                <c:pt idx="0">
                  <c:v>Bupnon Tea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Data!$A$2:$C$61</c15:sqref>
                  </c15:fullRef>
                  <c15:levelRef>
                    <c15:sqref>Data!$B$2:$B$61</c15:sqref>
                  </c15:levelRef>
                </c:ext>
              </c:extLst>
              <c:f>Data!$B$2:$B$61</c:f>
              <c:strCache>
                <c:ptCount val="60"/>
                <c:pt idx="0">
                  <c:v>Q1</c:v>
                </c:pt>
                <c:pt idx="1">
                  <c:v>Q1</c:v>
                </c:pt>
                <c:pt idx="2">
                  <c:v>Q1</c:v>
                </c:pt>
                <c:pt idx="3">
                  <c:v>Q2</c:v>
                </c:pt>
                <c:pt idx="4">
                  <c:v>Q2</c:v>
                </c:pt>
                <c:pt idx="5">
                  <c:v>Q2</c:v>
                </c:pt>
                <c:pt idx="6">
                  <c:v>Q3</c:v>
                </c:pt>
                <c:pt idx="7">
                  <c:v>Q3</c:v>
                </c:pt>
                <c:pt idx="8">
                  <c:v>Q3</c:v>
                </c:pt>
                <c:pt idx="9">
                  <c:v>Q4</c:v>
                </c:pt>
                <c:pt idx="10">
                  <c:v>Q4</c:v>
                </c:pt>
                <c:pt idx="11">
                  <c:v>Q4</c:v>
                </c:pt>
                <c:pt idx="12">
                  <c:v>Q1</c:v>
                </c:pt>
                <c:pt idx="13">
                  <c:v>Q1</c:v>
                </c:pt>
                <c:pt idx="14">
                  <c:v>Q1</c:v>
                </c:pt>
                <c:pt idx="15">
                  <c:v>Q2</c:v>
                </c:pt>
                <c:pt idx="16">
                  <c:v>Q2</c:v>
                </c:pt>
                <c:pt idx="17">
                  <c:v>Q2</c:v>
                </c:pt>
                <c:pt idx="18">
                  <c:v>Q3</c:v>
                </c:pt>
                <c:pt idx="19">
                  <c:v>Q3</c:v>
                </c:pt>
                <c:pt idx="20">
                  <c:v>Q3</c:v>
                </c:pt>
                <c:pt idx="21">
                  <c:v>Q4</c:v>
                </c:pt>
                <c:pt idx="22">
                  <c:v>Q4</c:v>
                </c:pt>
                <c:pt idx="23">
                  <c:v>Q4</c:v>
                </c:pt>
                <c:pt idx="24">
                  <c:v>Q1</c:v>
                </c:pt>
                <c:pt idx="25">
                  <c:v>Q1</c:v>
                </c:pt>
                <c:pt idx="26">
                  <c:v>Q1</c:v>
                </c:pt>
                <c:pt idx="27">
                  <c:v>Q2</c:v>
                </c:pt>
                <c:pt idx="28">
                  <c:v>Q2</c:v>
                </c:pt>
                <c:pt idx="29">
                  <c:v>Q2</c:v>
                </c:pt>
                <c:pt idx="30">
                  <c:v>Q3</c:v>
                </c:pt>
                <c:pt idx="31">
                  <c:v>Q3</c:v>
                </c:pt>
                <c:pt idx="32">
                  <c:v>Q3</c:v>
                </c:pt>
                <c:pt idx="33">
                  <c:v>Q4</c:v>
                </c:pt>
                <c:pt idx="34">
                  <c:v>Q4</c:v>
                </c:pt>
                <c:pt idx="35">
                  <c:v>Q4</c:v>
                </c:pt>
                <c:pt idx="36">
                  <c:v>Q1</c:v>
                </c:pt>
                <c:pt idx="37">
                  <c:v>Q1</c:v>
                </c:pt>
                <c:pt idx="38">
                  <c:v>Q1</c:v>
                </c:pt>
                <c:pt idx="39">
                  <c:v>Q2</c:v>
                </c:pt>
                <c:pt idx="40">
                  <c:v>Q2</c:v>
                </c:pt>
                <c:pt idx="41">
                  <c:v>Q2</c:v>
                </c:pt>
                <c:pt idx="42">
                  <c:v>Q3</c:v>
                </c:pt>
                <c:pt idx="43">
                  <c:v>Q3</c:v>
                </c:pt>
                <c:pt idx="44">
                  <c:v>Q3</c:v>
                </c:pt>
                <c:pt idx="45">
                  <c:v>Q4</c:v>
                </c:pt>
                <c:pt idx="46">
                  <c:v>Q4</c:v>
                </c:pt>
                <c:pt idx="47">
                  <c:v>Q4</c:v>
                </c:pt>
                <c:pt idx="48">
                  <c:v>Q1</c:v>
                </c:pt>
                <c:pt idx="49">
                  <c:v>Q1</c:v>
                </c:pt>
                <c:pt idx="50">
                  <c:v>Q1</c:v>
                </c:pt>
                <c:pt idx="51">
                  <c:v>Q2</c:v>
                </c:pt>
                <c:pt idx="52">
                  <c:v>Q2</c:v>
                </c:pt>
                <c:pt idx="53">
                  <c:v>Q2</c:v>
                </c:pt>
                <c:pt idx="54">
                  <c:v>Q3</c:v>
                </c:pt>
                <c:pt idx="55">
                  <c:v>Q3</c:v>
                </c:pt>
                <c:pt idx="56">
                  <c:v>Q3</c:v>
                </c:pt>
                <c:pt idx="57">
                  <c:v>Q4</c:v>
                </c:pt>
                <c:pt idx="58">
                  <c:v>Q4</c:v>
                </c:pt>
                <c:pt idx="59">
                  <c:v>Q4</c:v>
                </c:pt>
              </c:strCache>
            </c:strRef>
          </c:cat>
          <c:val>
            <c:numRef>
              <c:f>Data!$H$2:$H$61</c:f>
              <c:numCache>
                <c:formatCode>General</c:formatCode>
                <c:ptCount val="60"/>
                <c:pt idx="0">
                  <c:v>450</c:v>
                </c:pt>
                <c:pt idx="1">
                  <c:v>400</c:v>
                </c:pt>
                <c:pt idx="2">
                  <c:v>480</c:v>
                </c:pt>
                <c:pt idx="3">
                  <c:v>550</c:v>
                </c:pt>
                <c:pt idx="4">
                  <c:v>600</c:v>
                </c:pt>
                <c:pt idx="5">
                  <c:v>620</c:v>
                </c:pt>
                <c:pt idx="6">
                  <c:v>630</c:v>
                </c:pt>
                <c:pt idx="7">
                  <c:v>580</c:v>
                </c:pt>
                <c:pt idx="8">
                  <c:v>500</c:v>
                </c:pt>
                <c:pt idx="9">
                  <c:v>460</c:v>
                </c:pt>
                <c:pt idx="10">
                  <c:v>440</c:v>
                </c:pt>
                <c:pt idx="11">
                  <c:v>470</c:v>
                </c:pt>
                <c:pt idx="12">
                  <c:v>520</c:v>
                </c:pt>
                <c:pt idx="13">
                  <c:v>460</c:v>
                </c:pt>
                <c:pt idx="14">
                  <c:v>550</c:v>
                </c:pt>
                <c:pt idx="15">
                  <c:v>630</c:v>
                </c:pt>
                <c:pt idx="16">
                  <c:v>690</c:v>
                </c:pt>
                <c:pt idx="17">
                  <c:v>710</c:v>
                </c:pt>
                <c:pt idx="18">
                  <c:v>720</c:v>
                </c:pt>
                <c:pt idx="19">
                  <c:v>660</c:v>
                </c:pt>
                <c:pt idx="20">
                  <c:v>570</c:v>
                </c:pt>
                <c:pt idx="21">
                  <c:v>530</c:v>
                </c:pt>
                <c:pt idx="22">
                  <c:v>500</c:v>
                </c:pt>
                <c:pt idx="23">
                  <c:v>540</c:v>
                </c:pt>
                <c:pt idx="24">
                  <c:v>600</c:v>
                </c:pt>
                <c:pt idx="25">
                  <c:v>520</c:v>
                </c:pt>
                <c:pt idx="26">
                  <c:v>630</c:v>
                </c:pt>
                <c:pt idx="27">
                  <c:v>720</c:v>
                </c:pt>
                <c:pt idx="28">
                  <c:v>790</c:v>
                </c:pt>
                <c:pt idx="29">
                  <c:v>810</c:v>
                </c:pt>
                <c:pt idx="30">
                  <c:v>820</c:v>
                </c:pt>
                <c:pt idx="31">
                  <c:v>760</c:v>
                </c:pt>
                <c:pt idx="32">
                  <c:v>650</c:v>
                </c:pt>
                <c:pt idx="33">
                  <c:v>610</c:v>
                </c:pt>
                <c:pt idx="34">
                  <c:v>570</c:v>
                </c:pt>
                <c:pt idx="35">
                  <c:v>620</c:v>
                </c:pt>
                <c:pt idx="36">
                  <c:v>690</c:v>
                </c:pt>
                <c:pt idx="37">
                  <c:v>600</c:v>
                </c:pt>
                <c:pt idx="38">
                  <c:v>720</c:v>
                </c:pt>
                <c:pt idx="39">
                  <c:v>830</c:v>
                </c:pt>
                <c:pt idx="40">
                  <c:v>910</c:v>
                </c:pt>
                <c:pt idx="41">
                  <c:v>930</c:v>
                </c:pt>
                <c:pt idx="42">
                  <c:v>940</c:v>
                </c:pt>
                <c:pt idx="43">
                  <c:v>870</c:v>
                </c:pt>
                <c:pt idx="44">
                  <c:v>750</c:v>
                </c:pt>
                <c:pt idx="45">
                  <c:v>700</c:v>
                </c:pt>
                <c:pt idx="46">
                  <c:v>660</c:v>
                </c:pt>
                <c:pt idx="47">
                  <c:v>710</c:v>
                </c:pt>
                <c:pt idx="48">
                  <c:v>800</c:v>
                </c:pt>
                <c:pt idx="49">
                  <c:v>690</c:v>
                </c:pt>
                <c:pt idx="50">
                  <c:v>830</c:v>
                </c:pt>
                <c:pt idx="51">
                  <c:v>950</c:v>
                </c:pt>
                <c:pt idx="52" formatCode="#,##0">
                  <c:v>1040</c:v>
                </c:pt>
                <c:pt idx="53" formatCode="#,##0">
                  <c:v>1070</c:v>
                </c:pt>
                <c:pt idx="54" formatCode="#,##0">
                  <c:v>1080</c:v>
                </c:pt>
                <c:pt idx="55" formatCode="#,##0">
                  <c:v>1000</c:v>
                </c:pt>
                <c:pt idx="56">
                  <c:v>860</c:v>
                </c:pt>
                <c:pt idx="57">
                  <c:v>800</c:v>
                </c:pt>
                <c:pt idx="58">
                  <c:v>760</c:v>
                </c:pt>
                <c:pt idx="59">
                  <c:v>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94-40A2-A9DE-69E966A69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980240"/>
        <c:axId val="1506980720"/>
      </c:lineChart>
      <c:catAx>
        <c:axId val="150698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980720"/>
        <c:crosses val="autoZero"/>
        <c:auto val="1"/>
        <c:lblAlgn val="ctr"/>
        <c:lblOffset val="100"/>
        <c:noMultiLvlLbl val="0"/>
      </c:catAx>
      <c:valAx>
        <c:axId val="150698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98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</xdr:colOff>
      <xdr:row>14</xdr:row>
      <xdr:rowOff>3810</xdr:rowOff>
    </xdr:from>
    <xdr:to>
      <xdr:col>15</xdr:col>
      <xdr:colOff>22860</xdr:colOff>
      <xdr:row>32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662F10-EDD9-2432-B74B-7964C00A5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A0E8BB-F29A-482A-B913-4F19B67AD923}" name="Table1" displayName="Table1" ref="A1:H61" totalsRowShown="0" headerRowDxfId="12" dataDxfId="10" headerRowBorderDxfId="11" tableBorderDxfId="9" totalsRowBorderDxfId="8">
  <autoFilter ref="A1:H61" xr:uid="{83A0E8BB-F29A-482A-B913-4F19B67AD923}"/>
  <tableColumns count="8">
    <tableColumn id="1" xr3:uid="{88305DEB-C5A8-4725-95CA-043D18EC1620}" name="Year" dataDxfId="7" dataCellStyle="Comma">
      <calculatedColumnFormula>YEAR(C2)</calculatedColumnFormula>
    </tableColumn>
    <tableColumn id="2" xr3:uid="{1B44D4F9-5188-4165-B65E-178034DEE50D}" name="Quarter" dataDxfId="6"/>
    <tableColumn id="3" xr3:uid="{BF0DC18E-5002-4B3F-86CF-66E92E1873D2}" name="Month" dataDxfId="5"/>
    <tableColumn id="4" xr3:uid="{0521E8B3-725A-4C69-B57E-764B3EACC821}" name="Chinsu Soy Sauce" dataDxfId="4"/>
    <tableColumn id="5" xr3:uid="{875BE6AF-3893-4D2B-9287-E400E90293FB}" name="Tam Thai Tu Soy Sauce" dataDxfId="3"/>
    <tableColumn id="6" xr3:uid="{14F54213-E9D4-466D-9CC4-89F2188AF8C1}" name="Nam Ngu Fish Sauce" dataDxfId="2"/>
    <tableColumn id="7" xr3:uid="{1313FE21-593B-486F-93BD-B85189AFB833}" name="Omachi instant noodle" dataDxfId="1"/>
    <tableColumn id="8" xr3:uid="{08996BF6-A77D-4165-808B-B088B340EAC7}" name="Bupnon Te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3C2E-98D3-4D9C-B2FD-42845D279F0F}">
  <dimension ref="A1:S89"/>
  <sheetViews>
    <sheetView tabSelected="1" topLeftCell="E4" zoomScaleNormal="100" workbookViewId="0">
      <selection activeCell="L14" sqref="L14"/>
    </sheetView>
  </sheetViews>
  <sheetFormatPr defaultRowHeight="14.4" x14ac:dyDescent="0.3"/>
  <cols>
    <col min="1" max="1" width="8.77734375" customWidth="1"/>
    <col min="2" max="2" width="9.6640625" customWidth="1"/>
    <col min="3" max="3" width="8.77734375" bestFit="1" customWidth="1"/>
    <col min="4" max="4" width="18.77734375" customWidth="1"/>
    <col min="5" max="5" width="23.33203125" customWidth="1"/>
    <col min="6" max="6" width="21" customWidth="1"/>
    <col min="7" max="7" width="22.44140625" customWidth="1"/>
    <col min="8" max="9" width="13.44140625" customWidth="1"/>
    <col min="10" max="10" width="21.109375" bestFit="1" customWidth="1"/>
    <col min="11" max="11" width="12" bestFit="1" customWidth="1"/>
    <col min="12" max="12" width="21.6640625" customWidth="1"/>
    <col min="13" max="13" width="12" bestFit="1" customWidth="1"/>
    <col min="14" max="14" width="21.109375" bestFit="1" customWidth="1"/>
    <col min="15" max="15" width="12" bestFit="1" customWidth="1"/>
    <col min="16" max="16" width="21.109375" bestFit="1" customWidth="1"/>
    <col min="17" max="17" width="12" bestFit="1" customWidth="1"/>
    <col min="18" max="18" width="21.109375" bestFit="1" customWidth="1"/>
    <col min="19" max="19" width="12.6640625" bestFit="1" customWidth="1"/>
  </cols>
  <sheetData>
    <row r="1" spans="1:19" ht="15" thickBot="1" x14ac:dyDescent="0.35">
      <c r="A1" s="7" t="s">
        <v>4</v>
      </c>
      <c r="B1" s="8" t="s">
        <v>5</v>
      </c>
      <c r="C1" s="8" t="s">
        <v>6</v>
      </c>
      <c r="D1" s="8" t="s">
        <v>8</v>
      </c>
      <c r="E1" s="8" t="s">
        <v>7</v>
      </c>
      <c r="F1" s="8" t="s">
        <v>9</v>
      </c>
      <c r="G1" s="8" t="s">
        <v>10</v>
      </c>
      <c r="H1" s="9" t="s">
        <v>11</v>
      </c>
      <c r="I1" s="21"/>
      <c r="J1" s="29" t="s">
        <v>27</v>
      </c>
    </row>
    <row r="2" spans="1:19" ht="15" thickBot="1" x14ac:dyDescent="0.35">
      <c r="A2" s="4">
        <f t="shared" ref="A2:A33" si="0">YEAR(C2)</f>
        <v>2021</v>
      </c>
      <c r="B2" s="1" t="s">
        <v>0</v>
      </c>
      <c r="C2" s="1">
        <v>44197</v>
      </c>
      <c r="D2" s="2">
        <v>1200</v>
      </c>
      <c r="E2" s="3">
        <v>950</v>
      </c>
      <c r="F2" s="2">
        <v>2500</v>
      </c>
      <c r="G2" s="2">
        <v>1850</v>
      </c>
      <c r="H2" s="5">
        <v>450</v>
      </c>
      <c r="I2" s="22"/>
      <c r="J2" s="14" t="s">
        <v>8</v>
      </c>
      <c r="K2" s="14"/>
      <c r="L2" s="19" t="s">
        <v>7</v>
      </c>
      <c r="M2" s="19"/>
      <c r="N2" s="16" t="s">
        <v>9</v>
      </c>
      <c r="O2" s="16"/>
      <c r="P2" s="17" t="s">
        <v>10</v>
      </c>
      <c r="Q2" s="17"/>
      <c r="R2" s="18" t="s">
        <v>11</v>
      </c>
      <c r="S2" s="18"/>
    </row>
    <row r="3" spans="1:19" ht="15" thickBot="1" x14ac:dyDescent="0.35">
      <c r="A3" s="4">
        <f t="shared" si="0"/>
        <v>2021</v>
      </c>
      <c r="B3" s="1" t="s">
        <v>0</v>
      </c>
      <c r="C3" s="1">
        <v>44228</v>
      </c>
      <c r="D3" s="3">
        <v>800</v>
      </c>
      <c r="E3" s="3">
        <v>650</v>
      </c>
      <c r="F3" s="2">
        <v>1500</v>
      </c>
      <c r="G3" s="2">
        <v>1200</v>
      </c>
      <c r="H3" s="5">
        <v>400</v>
      </c>
      <c r="I3" s="22"/>
      <c r="J3" s="15" t="s">
        <v>12</v>
      </c>
      <c r="K3" s="24">
        <v>1191</v>
      </c>
      <c r="L3" s="25" t="s">
        <v>12</v>
      </c>
      <c r="M3" s="25">
        <v>938.91666666666663</v>
      </c>
      <c r="N3" s="26" t="s">
        <v>12</v>
      </c>
      <c r="O3" s="26">
        <v>2324.8333333333335</v>
      </c>
      <c r="P3" s="27" t="s">
        <v>12</v>
      </c>
      <c r="Q3" s="27">
        <v>1752.3333333333333</v>
      </c>
      <c r="R3" s="28" t="s">
        <v>12</v>
      </c>
      <c r="S3" s="28">
        <v>689.5</v>
      </c>
    </row>
    <row r="4" spans="1:19" ht="15" thickBot="1" x14ac:dyDescent="0.35">
      <c r="A4" s="4">
        <f t="shared" si="0"/>
        <v>2021</v>
      </c>
      <c r="B4" s="1" t="s">
        <v>0</v>
      </c>
      <c r="C4" s="1">
        <v>44256</v>
      </c>
      <c r="D4" s="3">
        <v>850</v>
      </c>
      <c r="E4" s="3">
        <v>680</v>
      </c>
      <c r="F4" s="2">
        <v>1650</v>
      </c>
      <c r="G4" s="2">
        <v>1250</v>
      </c>
      <c r="H4" s="5">
        <v>480</v>
      </c>
      <c r="I4" s="22"/>
      <c r="J4" s="15" t="s">
        <v>13</v>
      </c>
      <c r="K4" s="24">
        <v>1170</v>
      </c>
      <c r="L4" s="25" t="s">
        <v>13</v>
      </c>
      <c r="M4" s="25">
        <v>930</v>
      </c>
      <c r="N4" s="26" t="s">
        <v>13</v>
      </c>
      <c r="O4" s="26">
        <v>2230</v>
      </c>
      <c r="P4" s="27" t="s">
        <v>13</v>
      </c>
      <c r="Q4" s="27">
        <v>1710</v>
      </c>
      <c r="R4" s="28" t="s">
        <v>13</v>
      </c>
      <c r="S4" s="28">
        <v>675</v>
      </c>
    </row>
    <row r="5" spans="1:19" ht="15" thickBot="1" x14ac:dyDescent="0.35">
      <c r="A5" s="4">
        <f t="shared" si="0"/>
        <v>2021</v>
      </c>
      <c r="B5" s="1" t="s">
        <v>1</v>
      </c>
      <c r="C5" s="1">
        <v>44287</v>
      </c>
      <c r="D5" s="3">
        <v>900</v>
      </c>
      <c r="E5" s="3">
        <v>710</v>
      </c>
      <c r="F5" s="2">
        <v>1700</v>
      </c>
      <c r="G5" s="2">
        <v>1300</v>
      </c>
      <c r="H5" s="5">
        <v>550</v>
      </c>
      <c r="I5" s="22"/>
      <c r="J5" s="15" t="s">
        <v>14</v>
      </c>
      <c r="K5" s="24">
        <v>880</v>
      </c>
      <c r="L5" s="25" t="s">
        <v>14</v>
      </c>
      <c r="M5" s="25">
        <v>1040</v>
      </c>
      <c r="N5" s="26" t="s">
        <v>14</v>
      </c>
      <c r="O5" s="26">
        <v>1650</v>
      </c>
      <c r="P5" s="27" t="s">
        <v>14</v>
      </c>
      <c r="Q5" s="27">
        <v>1450</v>
      </c>
      <c r="R5" s="28" t="s">
        <v>14</v>
      </c>
      <c r="S5" s="28">
        <v>600</v>
      </c>
    </row>
    <row r="6" spans="1:19" ht="15" thickBot="1" x14ac:dyDescent="0.35">
      <c r="A6" s="4">
        <f t="shared" si="0"/>
        <v>2021</v>
      </c>
      <c r="B6" s="1" t="s">
        <v>1</v>
      </c>
      <c r="C6" s="1">
        <v>44317</v>
      </c>
      <c r="D6" s="3">
        <v>920</v>
      </c>
      <c r="E6" s="3">
        <v>720</v>
      </c>
      <c r="F6" s="2">
        <v>1750</v>
      </c>
      <c r="G6" s="2">
        <v>1320</v>
      </c>
      <c r="H6" s="5">
        <v>600</v>
      </c>
      <c r="I6" s="22"/>
      <c r="J6" s="15" t="s">
        <v>15</v>
      </c>
      <c r="K6" s="24">
        <v>229.60319492255343</v>
      </c>
      <c r="L6" s="25" t="s">
        <v>15</v>
      </c>
      <c r="M6" s="25">
        <v>177.27478351434121</v>
      </c>
      <c r="N6" s="26" t="s">
        <v>15</v>
      </c>
      <c r="O6" s="26">
        <v>516.52847614305483</v>
      </c>
      <c r="P6" s="27" t="s">
        <v>15</v>
      </c>
      <c r="Q6" s="27">
        <v>370.71788655584123</v>
      </c>
      <c r="R6" s="28" t="s">
        <v>15</v>
      </c>
      <c r="S6" s="28">
        <v>168.06400112628603</v>
      </c>
    </row>
    <row r="7" spans="1:19" ht="15" thickBot="1" x14ac:dyDescent="0.35">
      <c r="A7" s="4">
        <f t="shared" si="0"/>
        <v>2021</v>
      </c>
      <c r="B7" s="1" t="s">
        <v>1</v>
      </c>
      <c r="C7" s="1">
        <v>44348</v>
      </c>
      <c r="D7" s="3">
        <v>880</v>
      </c>
      <c r="E7" s="3">
        <v>700</v>
      </c>
      <c r="F7" s="2">
        <v>1680</v>
      </c>
      <c r="G7" s="2">
        <v>1280</v>
      </c>
      <c r="H7" s="5">
        <v>620</v>
      </c>
      <c r="I7" s="22"/>
      <c r="J7" s="15" t="s">
        <v>16</v>
      </c>
      <c r="K7" s="24">
        <v>1010</v>
      </c>
      <c r="L7" s="25" t="s">
        <v>16</v>
      </c>
      <c r="M7" s="25">
        <v>770</v>
      </c>
      <c r="N7" s="26" t="s">
        <v>16</v>
      </c>
      <c r="O7" s="26">
        <v>2290</v>
      </c>
      <c r="P7" s="27" t="s">
        <v>16</v>
      </c>
      <c r="Q7" s="27">
        <v>1640</v>
      </c>
      <c r="R7" s="28" t="s">
        <v>16</v>
      </c>
      <c r="S7" s="28">
        <v>680</v>
      </c>
    </row>
    <row r="8" spans="1:19" ht="15" thickBot="1" x14ac:dyDescent="0.35">
      <c r="A8" s="4">
        <f t="shared" si="0"/>
        <v>2021</v>
      </c>
      <c r="B8" s="1" t="s">
        <v>2</v>
      </c>
      <c r="C8" s="1">
        <v>44378</v>
      </c>
      <c r="D8" s="3">
        <v>910</v>
      </c>
      <c r="E8" s="3">
        <v>715</v>
      </c>
      <c r="F8" s="2">
        <v>1720</v>
      </c>
      <c r="G8" s="2">
        <v>1310</v>
      </c>
      <c r="H8" s="5">
        <v>630</v>
      </c>
      <c r="I8" s="22"/>
      <c r="J8" s="15" t="s">
        <v>17</v>
      </c>
      <c r="K8" s="24">
        <v>800</v>
      </c>
      <c r="L8" s="25" t="s">
        <v>17</v>
      </c>
      <c r="M8" s="25">
        <v>650</v>
      </c>
      <c r="N8" s="26" t="s">
        <v>17</v>
      </c>
      <c r="O8" s="26">
        <v>1500</v>
      </c>
      <c r="P8" s="27" t="s">
        <v>17</v>
      </c>
      <c r="Q8" s="27">
        <v>1200</v>
      </c>
      <c r="R8" s="28" t="s">
        <v>17</v>
      </c>
      <c r="S8" s="28">
        <v>400</v>
      </c>
    </row>
    <row r="9" spans="1:19" ht="15" thickBot="1" x14ac:dyDescent="0.35">
      <c r="A9" s="4">
        <f t="shared" si="0"/>
        <v>2021</v>
      </c>
      <c r="B9" s="1" t="s">
        <v>2</v>
      </c>
      <c r="C9" s="1">
        <v>44409</v>
      </c>
      <c r="D9" s="3">
        <v>950</v>
      </c>
      <c r="E9" s="3">
        <v>740</v>
      </c>
      <c r="F9" s="2">
        <v>1800</v>
      </c>
      <c r="G9" s="2">
        <v>1350</v>
      </c>
      <c r="H9" s="5">
        <v>580</v>
      </c>
      <c r="I9" s="22"/>
      <c r="J9" s="15" t="s">
        <v>18</v>
      </c>
      <c r="K9" s="24">
        <v>1810</v>
      </c>
      <c r="L9" s="25" t="s">
        <v>18</v>
      </c>
      <c r="M9" s="25">
        <v>1420</v>
      </c>
      <c r="N9" s="26" t="s">
        <v>18</v>
      </c>
      <c r="O9" s="26">
        <v>3790</v>
      </c>
      <c r="P9" s="27" t="s">
        <v>18</v>
      </c>
      <c r="Q9" s="27">
        <v>2840</v>
      </c>
      <c r="R9" s="28" t="s">
        <v>18</v>
      </c>
      <c r="S9" s="28">
        <v>1080</v>
      </c>
    </row>
    <row r="10" spans="1:19" ht="15" thickBot="1" x14ac:dyDescent="0.35">
      <c r="A10" s="4">
        <f t="shared" si="0"/>
        <v>2021</v>
      </c>
      <c r="B10" s="1" t="s">
        <v>2</v>
      </c>
      <c r="C10" s="1">
        <v>44440</v>
      </c>
      <c r="D10" s="3">
        <v>980</v>
      </c>
      <c r="E10" s="3">
        <v>760</v>
      </c>
      <c r="F10" s="2">
        <v>1850</v>
      </c>
      <c r="G10" s="2">
        <v>1400</v>
      </c>
      <c r="H10" s="5">
        <v>500</v>
      </c>
      <c r="I10" s="22"/>
      <c r="J10" s="15" t="s">
        <v>19</v>
      </c>
      <c r="K10" s="24">
        <v>71460</v>
      </c>
      <c r="L10" s="25" t="s">
        <v>19</v>
      </c>
      <c r="M10" s="25">
        <v>56335</v>
      </c>
      <c r="N10" s="26" t="s">
        <v>19</v>
      </c>
      <c r="O10" s="26">
        <v>139490</v>
      </c>
      <c r="P10" s="27" t="s">
        <v>19</v>
      </c>
      <c r="Q10" s="27">
        <v>105140</v>
      </c>
      <c r="R10" s="28" t="s">
        <v>19</v>
      </c>
      <c r="S10" s="28">
        <v>41370</v>
      </c>
    </row>
    <row r="11" spans="1:19" ht="15" thickBot="1" x14ac:dyDescent="0.35">
      <c r="A11" s="4">
        <f t="shared" si="0"/>
        <v>2021</v>
      </c>
      <c r="B11" s="1" t="s">
        <v>3</v>
      </c>
      <c r="C11" s="1">
        <v>44470</v>
      </c>
      <c r="D11" s="2">
        <v>1020</v>
      </c>
      <c r="E11" s="3">
        <v>800</v>
      </c>
      <c r="F11" s="2">
        <v>1950</v>
      </c>
      <c r="G11" s="2">
        <v>1450</v>
      </c>
      <c r="H11" s="5">
        <v>460</v>
      </c>
      <c r="I11" s="22"/>
      <c r="J11" s="15" t="s">
        <v>20</v>
      </c>
      <c r="K11" s="24">
        <v>60</v>
      </c>
      <c r="L11" s="25" t="s">
        <v>20</v>
      </c>
      <c r="M11" s="25">
        <v>60</v>
      </c>
      <c r="N11" s="26" t="s">
        <v>20</v>
      </c>
      <c r="O11" s="26">
        <v>60</v>
      </c>
      <c r="P11" s="27" t="s">
        <v>20</v>
      </c>
      <c r="Q11" s="27">
        <v>60</v>
      </c>
      <c r="R11" s="28" t="s">
        <v>20</v>
      </c>
      <c r="S11" s="28">
        <v>60</v>
      </c>
    </row>
    <row r="12" spans="1:19" ht="15" thickBot="1" x14ac:dyDescent="0.35">
      <c r="A12" s="4">
        <f t="shared" si="0"/>
        <v>2021</v>
      </c>
      <c r="B12" s="1" t="s">
        <v>3</v>
      </c>
      <c r="C12" s="1">
        <v>44501</v>
      </c>
      <c r="D12" s="2">
        <v>1100</v>
      </c>
      <c r="E12" s="3">
        <v>880</v>
      </c>
      <c r="F12" s="2">
        <v>2200</v>
      </c>
      <c r="G12" s="2">
        <v>1600</v>
      </c>
      <c r="H12" s="5">
        <v>440</v>
      </c>
      <c r="I12" s="22"/>
    </row>
    <row r="13" spans="1:19" ht="15" thickBot="1" x14ac:dyDescent="0.35">
      <c r="A13" s="4">
        <f t="shared" si="0"/>
        <v>2021</v>
      </c>
      <c r="B13" s="1" t="s">
        <v>3</v>
      </c>
      <c r="C13" s="1">
        <v>44531</v>
      </c>
      <c r="D13" s="2">
        <v>1250</v>
      </c>
      <c r="E13" s="3">
        <v>980</v>
      </c>
      <c r="F13" s="2">
        <v>2600</v>
      </c>
      <c r="G13" s="2">
        <v>1950</v>
      </c>
      <c r="H13" s="5">
        <v>470</v>
      </c>
      <c r="J13" s="29" t="s">
        <v>28</v>
      </c>
    </row>
    <row r="14" spans="1:19" ht="15" thickBot="1" x14ac:dyDescent="0.35">
      <c r="A14" s="4">
        <f t="shared" si="0"/>
        <v>2022</v>
      </c>
      <c r="B14" s="1" t="s">
        <v>0</v>
      </c>
      <c r="C14" s="1">
        <v>44562</v>
      </c>
      <c r="D14" s="2">
        <v>1320</v>
      </c>
      <c r="E14" s="2">
        <v>1040</v>
      </c>
      <c r="F14" s="2">
        <v>2750</v>
      </c>
      <c r="G14" s="2">
        <v>2050</v>
      </c>
      <c r="H14" s="5">
        <v>520</v>
      </c>
      <c r="J14" s="29" t="s">
        <v>29</v>
      </c>
    </row>
    <row r="15" spans="1:19" ht="15" thickBot="1" x14ac:dyDescent="0.35">
      <c r="A15" s="4">
        <f t="shared" si="0"/>
        <v>2022</v>
      </c>
      <c r="B15" s="1" t="s">
        <v>0</v>
      </c>
      <c r="C15" s="1">
        <v>44593</v>
      </c>
      <c r="D15" s="3">
        <v>880</v>
      </c>
      <c r="E15" s="3">
        <v>710</v>
      </c>
      <c r="F15" s="2">
        <v>1650</v>
      </c>
      <c r="G15" s="2">
        <v>1320</v>
      </c>
      <c r="H15" s="5">
        <v>460</v>
      </c>
    </row>
    <row r="16" spans="1:19" ht="15" thickBot="1" x14ac:dyDescent="0.35">
      <c r="A16" s="4">
        <f t="shared" si="0"/>
        <v>2022</v>
      </c>
      <c r="B16" s="1" t="s">
        <v>0</v>
      </c>
      <c r="C16" s="1">
        <v>44621</v>
      </c>
      <c r="D16" s="3">
        <v>930</v>
      </c>
      <c r="E16" s="3">
        <v>750</v>
      </c>
      <c r="F16" s="2">
        <v>1810</v>
      </c>
      <c r="G16" s="2">
        <v>1370</v>
      </c>
      <c r="H16" s="5">
        <v>550</v>
      </c>
      <c r="I16" s="22"/>
    </row>
    <row r="17" spans="1:9" ht="15" thickBot="1" x14ac:dyDescent="0.35">
      <c r="A17" s="4">
        <f t="shared" si="0"/>
        <v>2022</v>
      </c>
      <c r="B17" s="1" t="s">
        <v>1</v>
      </c>
      <c r="C17" s="1">
        <v>44652</v>
      </c>
      <c r="D17" s="3">
        <v>990</v>
      </c>
      <c r="E17" s="3">
        <v>780</v>
      </c>
      <c r="F17" s="2">
        <v>1870</v>
      </c>
      <c r="G17" s="2">
        <v>1430</v>
      </c>
      <c r="H17" s="5">
        <v>630</v>
      </c>
      <c r="I17" s="22"/>
    </row>
    <row r="18" spans="1:9" ht="15" thickBot="1" x14ac:dyDescent="0.35">
      <c r="A18" s="4">
        <f t="shared" si="0"/>
        <v>2022</v>
      </c>
      <c r="B18" s="1" t="s">
        <v>1</v>
      </c>
      <c r="C18" s="1">
        <v>44682</v>
      </c>
      <c r="D18" s="2">
        <v>1010</v>
      </c>
      <c r="E18" s="3">
        <v>790</v>
      </c>
      <c r="F18" s="2">
        <v>1920</v>
      </c>
      <c r="G18" s="2">
        <v>1450</v>
      </c>
      <c r="H18" s="5">
        <v>690</v>
      </c>
      <c r="I18" s="22"/>
    </row>
    <row r="19" spans="1:9" ht="15" thickBot="1" x14ac:dyDescent="0.35">
      <c r="A19" s="4">
        <f t="shared" si="0"/>
        <v>2022</v>
      </c>
      <c r="B19" s="1" t="s">
        <v>1</v>
      </c>
      <c r="C19" s="1">
        <v>44713</v>
      </c>
      <c r="D19" s="3">
        <v>960</v>
      </c>
      <c r="E19" s="3">
        <v>770</v>
      </c>
      <c r="F19" s="2">
        <v>1850</v>
      </c>
      <c r="G19" s="2">
        <v>1410</v>
      </c>
      <c r="H19" s="5">
        <v>710</v>
      </c>
      <c r="I19" s="22"/>
    </row>
    <row r="20" spans="1:9" ht="15" thickBot="1" x14ac:dyDescent="0.35">
      <c r="A20" s="4">
        <f t="shared" si="0"/>
        <v>2022</v>
      </c>
      <c r="B20" s="1" t="s">
        <v>2</v>
      </c>
      <c r="C20" s="1">
        <v>44743</v>
      </c>
      <c r="D20" s="2">
        <v>1000</v>
      </c>
      <c r="E20" s="3">
        <v>780</v>
      </c>
      <c r="F20" s="2">
        <v>1890</v>
      </c>
      <c r="G20" s="2">
        <v>1440</v>
      </c>
      <c r="H20" s="5">
        <v>720</v>
      </c>
      <c r="I20" s="22"/>
    </row>
    <row r="21" spans="1:9" ht="15" thickBot="1" x14ac:dyDescent="0.35">
      <c r="A21" s="4">
        <f t="shared" si="0"/>
        <v>2022</v>
      </c>
      <c r="B21" s="1" t="s">
        <v>2</v>
      </c>
      <c r="C21" s="1">
        <v>44774</v>
      </c>
      <c r="D21" s="2">
        <v>1040</v>
      </c>
      <c r="E21" s="3">
        <v>810</v>
      </c>
      <c r="F21" s="2">
        <v>1980</v>
      </c>
      <c r="G21" s="2">
        <v>1480</v>
      </c>
      <c r="H21" s="5">
        <v>660</v>
      </c>
      <c r="I21" s="22"/>
    </row>
    <row r="22" spans="1:9" ht="15" thickBot="1" x14ac:dyDescent="0.35">
      <c r="A22" s="4">
        <f t="shared" si="0"/>
        <v>2022</v>
      </c>
      <c r="B22" s="1" t="s">
        <v>2</v>
      </c>
      <c r="C22" s="1">
        <v>44805</v>
      </c>
      <c r="D22" s="2">
        <v>1070</v>
      </c>
      <c r="E22" s="3">
        <v>830</v>
      </c>
      <c r="F22" s="2">
        <v>2030</v>
      </c>
      <c r="G22" s="2">
        <v>1540</v>
      </c>
      <c r="H22" s="5">
        <v>570</v>
      </c>
      <c r="I22" s="22"/>
    </row>
    <row r="23" spans="1:9" ht="15" thickBot="1" x14ac:dyDescent="0.35">
      <c r="A23" s="4">
        <f t="shared" si="0"/>
        <v>2022</v>
      </c>
      <c r="B23" s="1" t="s">
        <v>3</v>
      </c>
      <c r="C23" s="1">
        <v>44835</v>
      </c>
      <c r="D23" s="2">
        <v>1120</v>
      </c>
      <c r="E23" s="3">
        <v>880</v>
      </c>
      <c r="F23" s="2">
        <v>2140</v>
      </c>
      <c r="G23" s="2">
        <v>1590</v>
      </c>
      <c r="H23" s="5">
        <v>530</v>
      </c>
      <c r="I23" s="22"/>
    </row>
    <row r="24" spans="1:9" ht="15" thickBot="1" x14ac:dyDescent="0.35">
      <c r="A24" s="4">
        <f t="shared" si="0"/>
        <v>2022</v>
      </c>
      <c r="B24" s="1" t="s">
        <v>3</v>
      </c>
      <c r="C24" s="1">
        <v>44866</v>
      </c>
      <c r="D24" s="2">
        <v>1210</v>
      </c>
      <c r="E24" s="3">
        <v>960</v>
      </c>
      <c r="F24" s="2">
        <v>2420</v>
      </c>
      <c r="G24" s="2">
        <v>1760</v>
      </c>
      <c r="H24" s="5">
        <v>500</v>
      </c>
      <c r="I24" s="22"/>
    </row>
    <row r="25" spans="1:9" ht="15" thickBot="1" x14ac:dyDescent="0.35">
      <c r="A25" s="4">
        <f t="shared" si="0"/>
        <v>2022</v>
      </c>
      <c r="B25" s="1" t="s">
        <v>3</v>
      </c>
      <c r="C25" s="1">
        <v>44896</v>
      </c>
      <c r="D25" s="2">
        <v>1370</v>
      </c>
      <c r="E25" s="2">
        <v>1070</v>
      </c>
      <c r="F25" s="2">
        <v>2860</v>
      </c>
      <c r="G25" s="2">
        <v>2140</v>
      </c>
      <c r="H25" s="5">
        <v>540</v>
      </c>
      <c r="I25" s="22"/>
    </row>
    <row r="26" spans="1:9" ht="15" thickBot="1" x14ac:dyDescent="0.35">
      <c r="A26" s="4">
        <f t="shared" si="0"/>
        <v>2023</v>
      </c>
      <c r="B26" s="1" t="s">
        <v>0</v>
      </c>
      <c r="C26" s="1">
        <v>44927</v>
      </c>
      <c r="D26" s="2">
        <v>1450</v>
      </c>
      <c r="E26" s="2">
        <v>1140</v>
      </c>
      <c r="F26" s="2">
        <v>3020</v>
      </c>
      <c r="G26" s="2">
        <v>2250</v>
      </c>
      <c r="H26" s="5">
        <v>600</v>
      </c>
      <c r="I26" s="22"/>
    </row>
    <row r="27" spans="1:9" ht="15" thickBot="1" x14ac:dyDescent="0.35">
      <c r="A27" s="4">
        <f t="shared" si="0"/>
        <v>2023</v>
      </c>
      <c r="B27" s="1" t="s">
        <v>0</v>
      </c>
      <c r="C27" s="1">
        <v>44958</v>
      </c>
      <c r="D27" s="3">
        <v>960</v>
      </c>
      <c r="E27" s="3">
        <v>780</v>
      </c>
      <c r="F27" s="2">
        <v>1810</v>
      </c>
      <c r="G27" s="2">
        <v>1450</v>
      </c>
      <c r="H27" s="5">
        <v>520</v>
      </c>
      <c r="I27" s="22"/>
    </row>
    <row r="28" spans="1:9" ht="15" thickBot="1" x14ac:dyDescent="0.35">
      <c r="A28" s="4">
        <f t="shared" si="0"/>
        <v>2023</v>
      </c>
      <c r="B28" s="1" t="s">
        <v>0</v>
      </c>
      <c r="C28" s="1">
        <v>44986</v>
      </c>
      <c r="D28" s="2">
        <v>1020</v>
      </c>
      <c r="E28" s="3">
        <v>820</v>
      </c>
      <c r="F28" s="2">
        <v>1990</v>
      </c>
      <c r="G28" s="2">
        <v>1500</v>
      </c>
      <c r="H28" s="5">
        <v>630</v>
      </c>
      <c r="I28" s="22"/>
    </row>
    <row r="29" spans="1:9" ht="15" thickBot="1" x14ac:dyDescent="0.35">
      <c r="A29" s="4">
        <f t="shared" si="0"/>
        <v>2023</v>
      </c>
      <c r="B29" s="1" t="s">
        <v>1</v>
      </c>
      <c r="C29" s="1">
        <v>45017</v>
      </c>
      <c r="D29" s="2">
        <v>1080</v>
      </c>
      <c r="E29" s="3">
        <v>860</v>
      </c>
      <c r="F29" s="2">
        <v>2050</v>
      </c>
      <c r="G29" s="2">
        <v>1570</v>
      </c>
      <c r="H29" s="5">
        <v>720</v>
      </c>
      <c r="I29" s="22"/>
    </row>
    <row r="30" spans="1:9" ht="15" thickBot="1" x14ac:dyDescent="0.35">
      <c r="A30" s="4">
        <f t="shared" si="0"/>
        <v>2023</v>
      </c>
      <c r="B30" s="1" t="s">
        <v>1</v>
      </c>
      <c r="C30" s="1">
        <v>45047</v>
      </c>
      <c r="D30" s="2">
        <v>1110</v>
      </c>
      <c r="E30" s="3">
        <v>870</v>
      </c>
      <c r="F30" s="2">
        <v>2110</v>
      </c>
      <c r="G30" s="2">
        <v>1590</v>
      </c>
      <c r="H30" s="5">
        <v>790</v>
      </c>
      <c r="I30" s="22"/>
    </row>
    <row r="31" spans="1:9" ht="15" thickBot="1" x14ac:dyDescent="0.35">
      <c r="A31" s="4">
        <f t="shared" si="0"/>
        <v>2023</v>
      </c>
      <c r="B31" s="1" t="s">
        <v>1</v>
      </c>
      <c r="C31" s="1">
        <v>45078</v>
      </c>
      <c r="D31" s="2">
        <v>1050</v>
      </c>
      <c r="E31" s="3">
        <v>840</v>
      </c>
      <c r="F31" s="2">
        <v>2030</v>
      </c>
      <c r="G31" s="2">
        <v>1550</v>
      </c>
      <c r="H31" s="5">
        <v>810</v>
      </c>
      <c r="I31" s="22"/>
    </row>
    <row r="32" spans="1:9" ht="15" thickBot="1" x14ac:dyDescent="0.35">
      <c r="A32" s="4">
        <f t="shared" si="0"/>
        <v>2023</v>
      </c>
      <c r="B32" s="1" t="s">
        <v>2</v>
      </c>
      <c r="C32" s="1">
        <v>45108</v>
      </c>
      <c r="D32" s="2">
        <v>1100</v>
      </c>
      <c r="E32" s="3">
        <v>860</v>
      </c>
      <c r="F32" s="2">
        <v>2080</v>
      </c>
      <c r="G32" s="2">
        <v>1580</v>
      </c>
      <c r="H32" s="5">
        <v>820</v>
      </c>
      <c r="I32" s="22"/>
    </row>
    <row r="33" spans="1:17" ht="15" thickBot="1" x14ac:dyDescent="0.35">
      <c r="A33" s="4">
        <f t="shared" si="0"/>
        <v>2023</v>
      </c>
      <c r="B33" s="1" t="s">
        <v>2</v>
      </c>
      <c r="C33" s="1">
        <v>45139</v>
      </c>
      <c r="D33" s="2">
        <v>1140</v>
      </c>
      <c r="E33" s="3">
        <v>890</v>
      </c>
      <c r="F33" s="2">
        <v>2170</v>
      </c>
      <c r="G33" s="2">
        <v>1630</v>
      </c>
      <c r="H33" s="5">
        <v>760</v>
      </c>
      <c r="I33" s="22"/>
    </row>
    <row r="34" spans="1:17" ht="15" thickBot="1" x14ac:dyDescent="0.35">
      <c r="A34" s="4">
        <f t="shared" ref="A34:A61" si="1">YEAR(C34)</f>
        <v>2023</v>
      </c>
      <c r="B34" s="1" t="s">
        <v>2</v>
      </c>
      <c r="C34" s="1">
        <v>45170</v>
      </c>
      <c r="D34" s="2">
        <v>1180</v>
      </c>
      <c r="E34" s="3">
        <v>910</v>
      </c>
      <c r="F34" s="2">
        <v>2230</v>
      </c>
      <c r="G34" s="2">
        <v>1690</v>
      </c>
      <c r="H34" s="5">
        <v>650</v>
      </c>
      <c r="I34" s="22"/>
    </row>
    <row r="35" spans="1:17" ht="15" thickBot="1" x14ac:dyDescent="0.35">
      <c r="A35" s="4">
        <f t="shared" si="1"/>
        <v>2023</v>
      </c>
      <c r="B35" s="1" t="s">
        <v>3</v>
      </c>
      <c r="C35" s="1">
        <v>45200</v>
      </c>
      <c r="D35" s="2">
        <v>1230</v>
      </c>
      <c r="E35" s="3">
        <v>960</v>
      </c>
      <c r="F35" s="2">
        <v>2350</v>
      </c>
      <c r="G35" s="2">
        <v>1750</v>
      </c>
      <c r="H35" s="5">
        <v>610</v>
      </c>
      <c r="I35" s="22"/>
      <c r="J35" s="29" t="s">
        <v>30</v>
      </c>
    </row>
    <row r="36" spans="1:17" ht="15" thickBot="1" x14ac:dyDescent="0.35">
      <c r="A36" s="4">
        <f t="shared" si="1"/>
        <v>2023</v>
      </c>
      <c r="B36" s="1" t="s">
        <v>3</v>
      </c>
      <c r="C36" s="1">
        <v>45231</v>
      </c>
      <c r="D36" s="2">
        <v>1330</v>
      </c>
      <c r="E36" s="2">
        <v>1050</v>
      </c>
      <c r="F36" s="2">
        <v>2660</v>
      </c>
      <c r="G36" s="2">
        <v>1930</v>
      </c>
      <c r="H36" s="5">
        <v>570</v>
      </c>
      <c r="I36" s="22"/>
      <c r="J36" s="30" t="s">
        <v>21</v>
      </c>
      <c r="K36" t="s">
        <v>22</v>
      </c>
      <c r="M36">
        <v>100</v>
      </c>
    </row>
    <row r="37" spans="1:17" ht="27" thickBot="1" x14ac:dyDescent="0.35">
      <c r="A37" s="4">
        <f t="shared" si="1"/>
        <v>2023</v>
      </c>
      <c r="B37" s="1" t="s">
        <v>3</v>
      </c>
      <c r="C37" s="1">
        <v>45261</v>
      </c>
      <c r="D37" s="2">
        <v>1500</v>
      </c>
      <c r="E37" s="2">
        <v>1180</v>
      </c>
      <c r="F37" s="2">
        <v>3140</v>
      </c>
      <c r="G37" s="2">
        <v>2350</v>
      </c>
      <c r="H37" s="5">
        <v>620</v>
      </c>
      <c r="I37" s="22"/>
      <c r="J37" s="32" t="s">
        <v>4</v>
      </c>
      <c r="K37" s="32" t="s">
        <v>5</v>
      </c>
      <c r="L37" s="32" t="s">
        <v>6</v>
      </c>
      <c r="M37" s="32" t="s">
        <v>8</v>
      </c>
      <c r="N37" s="32" t="s">
        <v>7</v>
      </c>
      <c r="O37" s="32" t="s">
        <v>9</v>
      </c>
      <c r="P37" s="32" t="s">
        <v>10</v>
      </c>
      <c r="Q37" s="32" t="s">
        <v>11</v>
      </c>
    </row>
    <row r="38" spans="1:17" ht="15" thickBot="1" x14ac:dyDescent="0.35">
      <c r="A38" s="4">
        <f t="shared" si="1"/>
        <v>2024</v>
      </c>
      <c r="B38" s="1" t="s">
        <v>0</v>
      </c>
      <c r="C38" s="1">
        <v>45292</v>
      </c>
      <c r="D38" s="2">
        <v>1590</v>
      </c>
      <c r="E38" s="2">
        <v>1250</v>
      </c>
      <c r="F38" s="2">
        <v>3320</v>
      </c>
      <c r="G38" s="2">
        <v>2470</v>
      </c>
      <c r="H38" s="5">
        <v>690</v>
      </c>
      <c r="I38" s="22"/>
      <c r="J38" s="31">
        <f t="shared" ref="J38" si="2">YEAR(L38)</f>
        <v>2025</v>
      </c>
      <c r="K38" s="1" t="s">
        <v>3</v>
      </c>
      <c r="L38" s="1">
        <v>45992</v>
      </c>
      <c r="M38" s="2">
        <v>1810</v>
      </c>
      <c r="N38" s="2">
        <v>1420</v>
      </c>
      <c r="O38" s="2">
        <v>3790</v>
      </c>
      <c r="P38" s="2">
        <v>2840</v>
      </c>
      <c r="Q38" s="3">
        <v>820</v>
      </c>
    </row>
    <row r="39" spans="1:17" ht="15" thickBot="1" x14ac:dyDescent="0.35">
      <c r="A39" s="4">
        <f t="shared" si="1"/>
        <v>2024</v>
      </c>
      <c r="B39" s="1" t="s">
        <v>0</v>
      </c>
      <c r="C39" s="1">
        <v>45323</v>
      </c>
      <c r="D39" s="2">
        <v>1050</v>
      </c>
      <c r="E39" s="3">
        <v>850</v>
      </c>
      <c r="F39" s="2">
        <v>1990</v>
      </c>
      <c r="G39" s="2">
        <v>1590</v>
      </c>
      <c r="H39" s="5">
        <v>600</v>
      </c>
      <c r="I39" s="22"/>
      <c r="J39" s="33">
        <v>2026</v>
      </c>
      <c r="K39" s="34" t="s">
        <v>0</v>
      </c>
      <c r="L39" s="34">
        <v>46047</v>
      </c>
      <c r="M39" s="35">
        <f>0.3*M38+0.7*(M38-100)</f>
        <v>1740</v>
      </c>
      <c r="N39" s="35">
        <f t="shared" ref="N39:Q39" si="3">0.3*N38+0.7*(N38-100)</f>
        <v>1350</v>
      </c>
      <c r="O39" s="35">
        <f t="shared" si="3"/>
        <v>3720</v>
      </c>
      <c r="P39" s="35">
        <f t="shared" si="3"/>
        <v>2770</v>
      </c>
      <c r="Q39" s="36">
        <f t="shared" si="3"/>
        <v>750</v>
      </c>
    </row>
    <row r="40" spans="1:17" ht="15" thickBot="1" x14ac:dyDescent="0.35">
      <c r="A40" s="4">
        <f t="shared" si="1"/>
        <v>2024</v>
      </c>
      <c r="B40" s="1" t="s">
        <v>0</v>
      </c>
      <c r="C40" s="1">
        <v>45352</v>
      </c>
      <c r="D40" s="2">
        <v>1120</v>
      </c>
      <c r="E40" s="3">
        <v>900</v>
      </c>
      <c r="F40" s="2">
        <v>2190</v>
      </c>
      <c r="G40" s="2">
        <v>1650</v>
      </c>
      <c r="H40" s="5">
        <v>720</v>
      </c>
      <c r="I40" s="22"/>
    </row>
    <row r="41" spans="1:17" ht="15" thickBot="1" x14ac:dyDescent="0.35">
      <c r="A41" s="4">
        <f t="shared" si="1"/>
        <v>2024</v>
      </c>
      <c r="B41" s="1" t="s">
        <v>1</v>
      </c>
      <c r="C41" s="1">
        <v>45383</v>
      </c>
      <c r="D41" s="2">
        <v>1190</v>
      </c>
      <c r="E41" s="3">
        <v>940</v>
      </c>
      <c r="F41" s="2">
        <v>2250</v>
      </c>
      <c r="G41" s="2">
        <v>1720</v>
      </c>
      <c r="H41" s="5">
        <v>830</v>
      </c>
      <c r="I41" s="22"/>
      <c r="J41" s="29" t="s">
        <v>31</v>
      </c>
    </row>
    <row r="42" spans="1:17" ht="15" thickBot="1" x14ac:dyDescent="0.35">
      <c r="A42" s="4">
        <f t="shared" si="1"/>
        <v>2024</v>
      </c>
      <c r="B42" s="1" t="s">
        <v>1</v>
      </c>
      <c r="C42" s="1">
        <v>45413</v>
      </c>
      <c r="D42" s="2">
        <v>1220</v>
      </c>
      <c r="E42" s="3">
        <v>950</v>
      </c>
      <c r="F42" s="2">
        <v>2320</v>
      </c>
      <c r="G42" s="2">
        <v>1750</v>
      </c>
      <c r="H42" s="5">
        <v>910</v>
      </c>
      <c r="I42" s="22"/>
      <c r="J42" t="s">
        <v>23</v>
      </c>
    </row>
    <row r="43" spans="1:17" ht="15" thickBot="1" x14ac:dyDescent="0.35">
      <c r="A43" s="4">
        <f t="shared" si="1"/>
        <v>2024</v>
      </c>
      <c r="B43" s="1" t="s">
        <v>1</v>
      </c>
      <c r="C43" s="1">
        <v>45444</v>
      </c>
      <c r="D43" s="2">
        <v>1150</v>
      </c>
      <c r="E43" s="3">
        <v>920</v>
      </c>
      <c r="F43" s="2">
        <v>2230</v>
      </c>
      <c r="G43" s="2">
        <v>1700</v>
      </c>
      <c r="H43" s="5">
        <v>930</v>
      </c>
      <c r="I43" s="22"/>
      <c r="J43" s="31">
        <f t="shared" ref="J43:J45" si="4">YEAR(L43)</f>
        <v>2025</v>
      </c>
      <c r="K43" s="1" t="s">
        <v>3</v>
      </c>
      <c r="L43" s="1">
        <v>45931</v>
      </c>
      <c r="M43" s="2">
        <v>1490</v>
      </c>
      <c r="N43" s="2">
        <v>1170</v>
      </c>
      <c r="O43" s="2">
        <v>2840</v>
      </c>
      <c r="P43" s="2">
        <v>2110</v>
      </c>
      <c r="Q43" s="3">
        <v>800</v>
      </c>
    </row>
    <row r="44" spans="1:17" ht="15" thickBot="1" x14ac:dyDescent="0.35">
      <c r="A44" s="4">
        <f t="shared" si="1"/>
        <v>2024</v>
      </c>
      <c r="B44" s="1" t="s">
        <v>2</v>
      </c>
      <c r="C44" s="1">
        <v>45474</v>
      </c>
      <c r="D44" s="2">
        <v>1210</v>
      </c>
      <c r="E44" s="3">
        <v>940</v>
      </c>
      <c r="F44" s="2">
        <v>2280</v>
      </c>
      <c r="G44" s="2">
        <v>1740</v>
      </c>
      <c r="H44" s="5">
        <v>940</v>
      </c>
      <c r="I44" s="22"/>
      <c r="J44" s="31">
        <f t="shared" si="4"/>
        <v>2025</v>
      </c>
      <c r="K44" s="1" t="s">
        <v>3</v>
      </c>
      <c r="L44" s="1">
        <v>45962</v>
      </c>
      <c r="M44" s="2">
        <v>1610</v>
      </c>
      <c r="N44" s="2">
        <v>1270</v>
      </c>
      <c r="O44" s="2">
        <v>3210</v>
      </c>
      <c r="P44" s="2">
        <v>2330</v>
      </c>
      <c r="Q44" s="3">
        <v>760</v>
      </c>
    </row>
    <row r="45" spans="1:17" ht="15" thickBot="1" x14ac:dyDescent="0.35">
      <c r="A45" s="4">
        <f t="shared" si="1"/>
        <v>2024</v>
      </c>
      <c r="B45" s="1" t="s">
        <v>2</v>
      </c>
      <c r="C45" s="1">
        <v>45505</v>
      </c>
      <c r="D45" s="2">
        <v>1250</v>
      </c>
      <c r="E45" s="3">
        <v>980</v>
      </c>
      <c r="F45" s="2">
        <v>2390</v>
      </c>
      <c r="G45" s="2">
        <v>1790</v>
      </c>
      <c r="H45" s="5">
        <v>870</v>
      </c>
      <c r="I45" s="22"/>
      <c r="J45" s="31">
        <f t="shared" si="4"/>
        <v>2025</v>
      </c>
      <c r="K45" s="1" t="s">
        <v>3</v>
      </c>
      <c r="L45" s="1">
        <v>45992</v>
      </c>
      <c r="M45" s="2">
        <v>1810</v>
      </c>
      <c r="N45" s="2">
        <v>1420</v>
      </c>
      <c r="O45" s="2">
        <v>3790</v>
      </c>
      <c r="P45" s="2">
        <v>2840</v>
      </c>
      <c r="Q45" s="3">
        <v>820</v>
      </c>
    </row>
    <row r="46" spans="1:17" ht="15" thickBot="1" x14ac:dyDescent="0.35">
      <c r="A46" s="4">
        <f t="shared" si="1"/>
        <v>2024</v>
      </c>
      <c r="B46" s="1" t="s">
        <v>2</v>
      </c>
      <c r="C46" s="1">
        <v>45536</v>
      </c>
      <c r="D46" s="2">
        <v>1300</v>
      </c>
      <c r="E46" s="2">
        <v>1000</v>
      </c>
      <c r="F46" s="2">
        <v>2450</v>
      </c>
      <c r="G46" s="2">
        <v>1860</v>
      </c>
      <c r="H46" s="5">
        <v>750</v>
      </c>
      <c r="I46" s="22"/>
      <c r="J46" s="33">
        <v>2026</v>
      </c>
      <c r="K46" s="34" t="s">
        <v>0</v>
      </c>
      <c r="L46" s="34">
        <v>46047</v>
      </c>
      <c r="M46" s="35">
        <f>AVERAGE(M43:M45)</f>
        <v>1636.6666666666667</v>
      </c>
      <c r="N46" s="35">
        <f t="shared" ref="N46:P46" si="5">AVERAGE(N43:N45)</f>
        <v>1286.6666666666667</v>
      </c>
      <c r="O46" s="35">
        <f t="shared" si="5"/>
        <v>3280</v>
      </c>
      <c r="P46" s="35">
        <f t="shared" si="5"/>
        <v>2426.6666666666665</v>
      </c>
      <c r="Q46" s="35">
        <f>AVERAGE(Q43:Q45)</f>
        <v>793.33333333333337</v>
      </c>
    </row>
    <row r="47" spans="1:17" ht="15" thickBot="1" x14ac:dyDescent="0.35">
      <c r="A47" s="4">
        <f t="shared" si="1"/>
        <v>2024</v>
      </c>
      <c r="B47" s="1" t="s">
        <v>3</v>
      </c>
      <c r="C47" s="1">
        <v>45566</v>
      </c>
      <c r="D47" s="2">
        <v>1350</v>
      </c>
      <c r="E47" s="2">
        <v>1060</v>
      </c>
      <c r="F47" s="2">
        <v>2580</v>
      </c>
      <c r="G47" s="2">
        <v>1920</v>
      </c>
      <c r="H47" s="5">
        <v>700</v>
      </c>
      <c r="I47" s="22"/>
    </row>
    <row r="48" spans="1:17" ht="15" thickBot="1" x14ac:dyDescent="0.35">
      <c r="A48" s="4">
        <f t="shared" si="1"/>
        <v>2024</v>
      </c>
      <c r="B48" s="1" t="s">
        <v>3</v>
      </c>
      <c r="C48" s="1">
        <v>45597</v>
      </c>
      <c r="D48" s="2">
        <v>1460</v>
      </c>
      <c r="E48" s="2">
        <v>1150</v>
      </c>
      <c r="F48" s="2">
        <v>2920</v>
      </c>
      <c r="G48" s="2">
        <v>2120</v>
      </c>
      <c r="H48" s="5">
        <v>660</v>
      </c>
      <c r="I48" s="22"/>
      <c r="J48" s="29" t="s">
        <v>32</v>
      </c>
    </row>
    <row r="49" spans="1:15" ht="15" thickBot="1" x14ac:dyDescent="0.35">
      <c r="A49" s="4">
        <f t="shared" si="1"/>
        <v>2024</v>
      </c>
      <c r="B49" s="1" t="s">
        <v>3</v>
      </c>
      <c r="C49" s="1">
        <v>45627</v>
      </c>
      <c r="D49" s="2">
        <v>1650</v>
      </c>
      <c r="E49" s="2">
        <v>1290</v>
      </c>
      <c r="F49" s="2">
        <v>3450</v>
      </c>
      <c r="G49" s="2">
        <v>2580</v>
      </c>
      <c r="H49" s="5">
        <v>710</v>
      </c>
      <c r="I49" s="22"/>
      <c r="J49" t="s">
        <v>25</v>
      </c>
    </row>
    <row r="50" spans="1:15" ht="15" thickBot="1" x14ac:dyDescent="0.35">
      <c r="A50" s="4">
        <f t="shared" si="1"/>
        <v>2025</v>
      </c>
      <c r="B50" s="1" t="s">
        <v>0</v>
      </c>
      <c r="C50" s="1">
        <v>45658</v>
      </c>
      <c r="D50" s="2">
        <v>1750</v>
      </c>
      <c r="E50" s="2">
        <v>1380</v>
      </c>
      <c r="F50" s="2">
        <v>3650</v>
      </c>
      <c r="G50" s="2">
        <v>2720</v>
      </c>
      <c r="H50" s="5">
        <v>800</v>
      </c>
      <c r="I50" s="22"/>
      <c r="J50" s="22"/>
      <c r="K50" s="22"/>
      <c r="L50" s="22"/>
      <c r="M50" s="22"/>
      <c r="N50" s="22"/>
      <c r="O50" s="22"/>
    </row>
    <row r="51" spans="1:15" ht="27" thickBot="1" x14ac:dyDescent="0.35">
      <c r="A51" s="4">
        <f t="shared" si="1"/>
        <v>2025</v>
      </c>
      <c r="B51" s="1" t="s">
        <v>0</v>
      </c>
      <c r="C51" s="1">
        <v>45689</v>
      </c>
      <c r="D51" s="2">
        <v>1160</v>
      </c>
      <c r="E51" s="3">
        <v>940</v>
      </c>
      <c r="F51" s="2">
        <v>2190</v>
      </c>
      <c r="G51" s="2">
        <v>1750</v>
      </c>
      <c r="H51" s="5">
        <v>690</v>
      </c>
      <c r="I51" s="22"/>
      <c r="J51" s="40">
        <v>2024</v>
      </c>
      <c r="K51" s="38" t="s">
        <v>8</v>
      </c>
      <c r="L51" s="38" t="s">
        <v>7</v>
      </c>
      <c r="M51" s="38" t="s">
        <v>9</v>
      </c>
      <c r="N51" s="38" t="s">
        <v>10</v>
      </c>
      <c r="O51" s="38" t="s">
        <v>11</v>
      </c>
    </row>
    <row r="52" spans="1:15" ht="15" thickBot="1" x14ac:dyDescent="0.35">
      <c r="A52" s="4">
        <f t="shared" si="1"/>
        <v>2025</v>
      </c>
      <c r="B52" s="1" t="s">
        <v>0</v>
      </c>
      <c r="C52" s="1">
        <v>45717</v>
      </c>
      <c r="D52" s="2">
        <v>1230</v>
      </c>
      <c r="E52" s="3">
        <v>990</v>
      </c>
      <c r="F52" s="2">
        <v>2410</v>
      </c>
      <c r="G52" s="2">
        <v>1810</v>
      </c>
      <c r="H52" s="5">
        <v>830</v>
      </c>
      <c r="I52" s="22"/>
      <c r="J52" s="37" t="s">
        <v>0</v>
      </c>
      <c r="K52" s="37">
        <f>SUMIFS(Table1[Chinsu Soy Sauce],Table1[[Year]:[Year]], 2024, Table1[[Quarter]:[Quarter]],$J52)</f>
        <v>3760</v>
      </c>
      <c r="L52" s="37">
        <f>SUMIFS(Table1[Tam Thai Tu Soy Sauce],Table1[[Year]:[Year]], 2024, Table1[[Quarter]:[Quarter]],$J52)</f>
        <v>3000</v>
      </c>
      <c r="M52" s="37">
        <f>SUMIFS(Table1[Nam Ngu Fish Sauce],Table1[[Year]:[Year]], 2024, Table1[[Quarter]:[Quarter]],$J52)</f>
        <v>7500</v>
      </c>
      <c r="N52" s="37">
        <f>SUMIFS(Table1[Omachi instant noodle],Table1[[Year]:[Year]], 2024, Table1[[Quarter]:[Quarter]],$J52)</f>
        <v>5710</v>
      </c>
      <c r="O52" s="37">
        <f>SUMIFS(Table1[Bupnon Tea],Table1[[Year]:[Year]], 2024, Table1[[Quarter]:[Quarter]],$J52)</f>
        <v>2010</v>
      </c>
    </row>
    <row r="53" spans="1:15" ht="15" thickBot="1" x14ac:dyDescent="0.35">
      <c r="A53" s="4">
        <f t="shared" si="1"/>
        <v>2025</v>
      </c>
      <c r="B53" s="1" t="s">
        <v>1</v>
      </c>
      <c r="C53" s="1">
        <v>45748</v>
      </c>
      <c r="D53" s="2">
        <v>1310</v>
      </c>
      <c r="E53" s="2">
        <v>1040</v>
      </c>
      <c r="F53" s="2">
        <v>2480</v>
      </c>
      <c r="G53" s="2">
        <v>1890</v>
      </c>
      <c r="H53" s="5">
        <v>950</v>
      </c>
      <c r="I53" s="22"/>
      <c r="J53" s="37" t="s">
        <v>1</v>
      </c>
      <c r="K53" s="37">
        <f>SUMIFS(Table1[Chinsu Soy Sauce],Table1[[Year]:[Year]], 2024, Table1[[Quarter]:[Quarter]],$J53)</f>
        <v>3560</v>
      </c>
      <c r="L53" s="37">
        <f>SUMIFS(Table1[Tam Thai Tu Soy Sauce],Table1[[Year]:[Year]], 2024, Table1[[Quarter]:[Quarter]],$J53)</f>
        <v>2810</v>
      </c>
      <c r="M53" s="37">
        <f>SUMIFS(Table1[Nam Ngu Fish Sauce],Table1[[Year]:[Year]], 2024, Table1[[Quarter]:[Quarter]],$J53)</f>
        <v>6800</v>
      </c>
      <c r="N53" s="37">
        <f>SUMIFS(Table1[Omachi instant noodle],Table1[[Year]:[Year]], 2024, Table1[[Quarter]:[Quarter]],$J53)</f>
        <v>5170</v>
      </c>
      <c r="O53" s="37">
        <f>SUMIFS(Table1[Bupnon Tea],Table1[[Year]:[Year]], 2024, Table1[[Quarter]:[Quarter]],$J53)</f>
        <v>2670</v>
      </c>
    </row>
    <row r="54" spans="1:15" ht="15" thickBot="1" x14ac:dyDescent="0.35">
      <c r="A54" s="4">
        <f t="shared" si="1"/>
        <v>2025</v>
      </c>
      <c r="B54" s="1" t="s">
        <v>1</v>
      </c>
      <c r="C54" s="1">
        <v>45778</v>
      </c>
      <c r="D54" s="2">
        <v>1340</v>
      </c>
      <c r="E54" s="2">
        <v>1050</v>
      </c>
      <c r="F54" s="2">
        <v>2550</v>
      </c>
      <c r="G54" s="2">
        <v>1920</v>
      </c>
      <c r="H54" s="6">
        <v>1040</v>
      </c>
      <c r="I54" s="23"/>
      <c r="J54" s="37" t="s">
        <v>2</v>
      </c>
      <c r="K54" s="37">
        <f>SUMIFS(Table1[Chinsu Soy Sauce],Table1[[Year]:[Year]], 2024, Table1[[Quarter]:[Quarter]],$J54)</f>
        <v>3760</v>
      </c>
      <c r="L54" s="37">
        <f>SUMIFS(Table1[Tam Thai Tu Soy Sauce],Table1[[Year]:[Year]], 2024, Table1[[Quarter]:[Quarter]],$J54)</f>
        <v>2920</v>
      </c>
      <c r="M54" s="37">
        <f>SUMIFS(Table1[Nam Ngu Fish Sauce],Table1[[Year]:[Year]], 2024, Table1[[Quarter]:[Quarter]],$J54)</f>
        <v>7120</v>
      </c>
      <c r="N54" s="37">
        <f>SUMIFS(Table1[Omachi instant noodle],Table1[[Year]:[Year]], 2024, Table1[[Quarter]:[Quarter]],$J54)</f>
        <v>5390</v>
      </c>
      <c r="O54" s="37">
        <f>SUMIFS(Table1[Bupnon Tea],Table1[[Year]:[Year]], 2024, Table1[[Quarter]:[Quarter]],$J54)</f>
        <v>2560</v>
      </c>
    </row>
    <row r="55" spans="1:15" ht="15" thickBot="1" x14ac:dyDescent="0.35">
      <c r="A55" s="4">
        <f t="shared" si="1"/>
        <v>2025</v>
      </c>
      <c r="B55" s="1" t="s">
        <v>1</v>
      </c>
      <c r="C55" s="1">
        <v>45809</v>
      </c>
      <c r="D55" s="2">
        <v>1270</v>
      </c>
      <c r="E55" s="2">
        <v>1010</v>
      </c>
      <c r="F55" s="2">
        <v>2450</v>
      </c>
      <c r="G55" s="2">
        <v>1870</v>
      </c>
      <c r="H55" s="6">
        <v>1070</v>
      </c>
      <c r="I55" s="23"/>
      <c r="J55" s="37" t="s">
        <v>3</v>
      </c>
      <c r="K55" s="37">
        <f>SUMIFS(Table1[Chinsu Soy Sauce],Table1[[Year]:[Year]], 2024, Table1[[Quarter]:[Quarter]],$J55)</f>
        <v>4460</v>
      </c>
      <c r="L55" s="37">
        <f>SUMIFS(Table1[Tam Thai Tu Soy Sauce],Table1[[Year]:[Year]], 2024, Table1[[Quarter]:[Quarter]],$J55)</f>
        <v>3500</v>
      </c>
      <c r="M55" s="37">
        <f>SUMIFS(Table1[Nam Ngu Fish Sauce],Table1[[Year]:[Year]], 2024, Table1[[Quarter]:[Quarter]],$J55)</f>
        <v>8950</v>
      </c>
      <c r="N55" s="37">
        <f>SUMIFS(Table1[Omachi instant noodle],Table1[[Year]:[Year]], 2024, Table1[[Quarter]:[Quarter]],$J55)</f>
        <v>6620</v>
      </c>
      <c r="O55" s="37">
        <f>SUMIFS(Table1[Bupnon Tea],Table1[[Year]:[Year]], 2024, Table1[[Quarter]:[Quarter]],$J55)</f>
        <v>2070</v>
      </c>
    </row>
    <row r="56" spans="1:15" ht="15" thickBot="1" x14ac:dyDescent="0.35">
      <c r="A56" s="4">
        <f t="shared" si="1"/>
        <v>2025</v>
      </c>
      <c r="B56" s="1" t="s">
        <v>2</v>
      </c>
      <c r="C56" s="1">
        <v>45839</v>
      </c>
      <c r="D56" s="2">
        <v>1330</v>
      </c>
      <c r="E56" s="2">
        <v>1040</v>
      </c>
      <c r="F56" s="2">
        <v>2510</v>
      </c>
      <c r="G56" s="2">
        <v>1910</v>
      </c>
      <c r="H56" s="6">
        <v>1080</v>
      </c>
      <c r="I56" s="23"/>
    </row>
    <row r="57" spans="1:15" ht="27" thickBot="1" x14ac:dyDescent="0.35">
      <c r="A57" s="4">
        <f t="shared" si="1"/>
        <v>2025</v>
      </c>
      <c r="B57" s="1" t="s">
        <v>2</v>
      </c>
      <c r="C57" s="1">
        <v>45870</v>
      </c>
      <c r="D57" s="2">
        <v>1380</v>
      </c>
      <c r="E57" s="2">
        <v>1080</v>
      </c>
      <c r="F57" s="2">
        <v>2630</v>
      </c>
      <c r="G57" s="2">
        <v>1970</v>
      </c>
      <c r="H57" s="6">
        <v>1000</v>
      </c>
      <c r="I57" s="23"/>
      <c r="J57" s="40">
        <v>2025</v>
      </c>
      <c r="K57" s="38" t="s">
        <v>8</v>
      </c>
      <c r="L57" s="38" t="s">
        <v>7</v>
      </c>
      <c r="M57" s="38" t="s">
        <v>9</v>
      </c>
      <c r="N57" s="38" t="s">
        <v>10</v>
      </c>
      <c r="O57" s="38" t="s">
        <v>11</v>
      </c>
    </row>
    <row r="58" spans="1:15" ht="15" thickBot="1" x14ac:dyDescent="0.35">
      <c r="A58" s="4">
        <f t="shared" si="1"/>
        <v>2025</v>
      </c>
      <c r="B58" s="1" t="s">
        <v>2</v>
      </c>
      <c r="C58" s="1">
        <v>45901</v>
      </c>
      <c r="D58" s="2">
        <v>1430</v>
      </c>
      <c r="E58" s="2">
        <v>1100</v>
      </c>
      <c r="F58" s="2">
        <v>2700</v>
      </c>
      <c r="G58" s="2">
        <v>2050</v>
      </c>
      <c r="H58" s="5">
        <v>860</v>
      </c>
      <c r="I58" s="22"/>
      <c r="J58" s="37" t="s">
        <v>0</v>
      </c>
      <c r="K58" s="37">
        <f>SUMIFS(Table1[Chinsu Soy Sauce],Table1[[Year]:[Year]], 2025, Table1[[Quarter]:[Quarter]],$J58)</f>
        <v>4140</v>
      </c>
      <c r="L58" s="37">
        <f>SUMIFS(Table1[Tam Thai Tu Soy Sauce],Table1[[Year]:[Year]], 2025, Table1[[Quarter]:[Quarter]],$J58)</f>
        <v>3310</v>
      </c>
      <c r="M58" s="37">
        <f>SUMIFS(Table1[Nam Ngu Fish Sauce],Table1[[Year]:[Year]], 2025, Table1[[Quarter]:[Quarter]],$J58)</f>
        <v>8250</v>
      </c>
      <c r="N58" s="37">
        <f>SUMIFS(Table1[Omachi instant noodle],Table1[[Year]:[Year]], 2025, Table1[[Quarter]:[Quarter]],$J58)</f>
        <v>6280</v>
      </c>
      <c r="O58" s="37">
        <f>SUMIFS(Table1[Bupnon Tea],Table1[[Year]:[Year]], 2025, Table1[[Quarter]:[Quarter]],$J58)</f>
        <v>2320</v>
      </c>
    </row>
    <row r="59" spans="1:15" ht="15" thickBot="1" x14ac:dyDescent="0.35">
      <c r="A59" s="4">
        <f t="shared" si="1"/>
        <v>2025</v>
      </c>
      <c r="B59" s="1" t="s">
        <v>3</v>
      </c>
      <c r="C59" s="1">
        <v>45931</v>
      </c>
      <c r="D59" s="2">
        <v>1490</v>
      </c>
      <c r="E59" s="2">
        <v>1170</v>
      </c>
      <c r="F59" s="2">
        <v>2840</v>
      </c>
      <c r="G59" s="2">
        <v>2110</v>
      </c>
      <c r="H59" s="5">
        <v>800</v>
      </c>
      <c r="I59" s="22"/>
      <c r="J59" s="37" t="s">
        <v>1</v>
      </c>
      <c r="K59" s="37">
        <f>SUMIFS(Table1[Chinsu Soy Sauce],Table1[[Year]:[Year]], 2025, Table1[[Quarter]:[Quarter]],$J59)</f>
        <v>3920</v>
      </c>
      <c r="L59" s="37">
        <f>SUMIFS(Table1[Tam Thai Tu Soy Sauce],Table1[[Year]:[Year]], 2025, Table1[[Quarter]:[Quarter]],$J59)</f>
        <v>3100</v>
      </c>
      <c r="M59" s="37">
        <f>SUMIFS(Table1[Nam Ngu Fish Sauce],Table1[[Year]:[Year]], 2025, Table1[[Quarter]:[Quarter]],$J59)</f>
        <v>7480</v>
      </c>
      <c r="N59" s="37">
        <f>SUMIFS(Table1[Omachi instant noodle],Table1[[Year]:[Year]], 2025, Table1[[Quarter]:[Quarter]],$J59)</f>
        <v>5680</v>
      </c>
      <c r="O59" s="37">
        <f>SUMIFS(Table1[Bupnon Tea],Table1[[Year]:[Year]], 2025, Table1[[Quarter]:[Quarter]],$J59)</f>
        <v>3060</v>
      </c>
    </row>
    <row r="60" spans="1:15" ht="15" thickBot="1" x14ac:dyDescent="0.35">
      <c r="A60" s="4">
        <f t="shared" si="1"/>
        <v>2025</v>
      </c>
      <c r="B60" s="1" t="s">
        <v>3</v>
      </c>
      <c r="C60" s="1">
        <v>45962</v>
      </c>
      <c r="D60" s="2">
        <v>1610</v>
      </c>
      <c r="E60" s="2">
        <v>1270</v>
      </c>
      <c r="F60" s="2">
        <v>3210</v>
      </c>
      <c r="G60" s="2">
        <v>2330</v>
      </c>
      <c r="H60" s="5">
        <v>760</v>
      </c>
      <c r="I60" s="22"/>
      <c r="J60" s="37" t="s">
        <v>2</v>
      </c>
      <c r="K60" s="37">
        <f>SUMIFS(Table1[Chinsu Soy Sauce],Table1[[Year]:[Year]], 2025, Table1[[Quarter]:[Quarter]],$J60)</f>
        <v>4140</v>
      </c>
      <c r="L60" s="37">
        <f>SUMIFS(Table1[Tam Thai Tu Soy Sauce],Table1[[Year]:[Year]], 2025, Table1[[Quarter]:[Quarter]],$J60)</f>
        <v>3220</v>
      </c>
      <c r="M60" s="37">
        <f>SUMIFS(Table1[Nam Ngu Fish Sauce],Table1[[Year]:[Year]], 2025, Table1[[Quarter]:[Quarter]],$J60)</f>
        <v>7840</v>
      </c>
      <c r="N60" s="37">
        <f>SUMIFS(Table1[Omachi instant noodle],Table1[[Year]:[Year]], 2025, Table1[[Quarter]:[Quarter]],$J60)</f>
        <v>5930</v>
      </c>
      <c r="O60" s="37">
        <f>SUMIFS(Table1[Bupnon Tea],Table1[[Year]:[Year]], 2025, Table1[[Quarter]:[Quarter]],$J60)</f>
        <v>2940</v>
      </c>
    </row>
    <row r="61" spans="1:15" x14ac:dyDescent="0.3">
      <c r="A61" s="10">
        <f t="shared" si="1"/>
        <v>2025</v>
      </c>
      <c r="B61" s="11" t="s">
        <v>3</v>
      </c>
      <c r="C61" s="11">
        <v>45992</v>
      </c>
      <c r="D61" s="12">
        <v>1810</v>
      </c>
      <c r="E61" s="12">
        <v>1420</v>
      </c>
      <c r="F61" s="12">
        <v>3790</v>
      </c>
      <c r="G61" s="12">
        <v>2840</v>
      </c>
      <c r="H61" s="13">
        <v>820</v>
      </c>
      <c r="I61" s="22"/>
      <c r="J61" s="37" t="s">
        <v>3</v>
      </c>
      <c r="K61" s="37">
        <f>SUMIFS(Table1[Chinsu Soy Sauce],Table1[[Year]:[Year]], 2025, Table1[[Quarter]:[Quarter]],$J61)</f>
        <v>4910</v>
      </c>
      <c r="L61" s="37">
        <f>SUMIFS(Table1[Tam Thai Tu Soy Sauce],Table1[[Year]:[Year]], 2025, Table1[[Quarter]:[Quarter]],$J61)</f>
        <v>3860</v>
      </c>
      <c r="M61" s="37">
        <f>SUMIFS(Table1[Nam Ngu Fish Sauce],Table1[[Year]:[Year]], 2025, Table1[[Quarter]:[Quarter]],$J61)</f>
        <v>9840</v>
      </c>
      <c r="N61" s="37">
        <f>SUMIFS(Table1[Omachi instant noodle],Table1[[Year]:[Year]], 2025, Table1[[Quarter]:[Quarter]],$J61)</f>
        <v>7280</v>
      </c>
      <c r="O61" s="37">
        <f>SUMIFS(Table1[Bupnon Tea],Table1[[Year]:[Year]], 2025, Table1[[Quarter]:[Quarter]],$J61)</f>
        <v>2380</v>
      </c>
    </row>
    <row r="64" spans="1:15" x14ac:dyDescent="0.3">
      <c r="J64" t="s">
        <v>24</v>
      </c>
      <c r="K64" s="20"/>
    </row>
    <row r="66" spans="10:15" ht="26.4" x14ac:dyDescent="0.3">
      <c r="J66" s="40">
        <v>2025</v>
      </c>
      <c r="K66" s="38" t="s">
        <v>8</v>
      </c>
      <c r="L66" s="38" t="s">
        <v>7</v>
      </c>
      <c r="M66" s="38" t="s">
        <v>9</v>
      </c>
      <c r="N66" s="38" t="s">
        <v>10</v>
      </c>
      <c r="O66" s="38" t="s">
        <v>11</v>
      </c>
    </row>
    <row r="67" spans="10:15" x14ac:dyDescent="0.3">
      <c r="J67" s="37" t="s">
        <v>0</v>
      </c>
      <c r="K67" s="39">
        <f>(K58-K52)/K58</f>
        <v>9.1787439613526575E-2</v>
      </c>
      <c r="L67" s="39">
        <f>(L58-L52)/L58</f>
        <v>9.3655589123867067E-2</v>
      </c>
      <c r="M67" s="39">
        <f t="shared" ref="M67:O67" si="6">(M58-M52)/M58</f>
        <v>9.0909090909090912E-2</v>
      </c>
      <c r="N67" s="39">
        <f t="shared" si="6"/>
        <v>9.0764331210191077E-2</v>
      </c>
      <c r="O67" s="39">
        <f t="shared" si="6"/>
        <v>0.1336206896551724</v>
      </c>
    </row>
    <row r="68" spans="10:15" x14ac:dyDescent="0.3">
      <c r="J68" s="37" t="s">
        <v>1</v>
      </c>
      <c r="K68" s="39">
        <f t="shared" ref="K68:O70" si="7">(K59-K53)/K59</f>
        <v>9.1836734693877556E-2</v>
      </c>
      <c r="L68" s="39">
        <f t="shared" si="7"/>
        <v>9.3548387096774197E-2</v>
      </c>
      <c r="M68" s="39">
        <f t="shared" si="7"/>
        <v>9.0909090909090912E-2</v>
      </c>
      <c r="N68" s="39">
        <f t="shared" si="7"/>
        <v>8.9788732394366202E-2</v>
      </c>
      <c r="O68" s="39">
        <f t="shared" si="7"/>
        <v>0.12745098039215685</v>
      </c>
    </row>
    <row r="69" spans="10:15" x14ac:dyDescent="0.3">
      <c r="J69" s="37" t="s">
        <v>2</v>
      </c>
      <c r="K69" s="39">
        <f t="shared" si="7"/>
        <v>9.1787439613526575E-2</v>
      </c>
      <c r="L69" s="39">
        <f t="shared" si="7"/>
        <v>9.3167701863354033E-2</v>
      </c>
      <c r="M69" s="39">
        <f t="shared" si="7"/>
        <v>9.1836734693877556E-2</v>
      </c>
      <c r="N69" s="39">
        <f t="shared" si="7"/>
        <v>9.1062394603709948E-2</v>
      </c>
      <c r="O69" s="39">
        <f t="shared" si="7"/>
        <v>0.12925170068027211</v>
      </c>
    </row>
    <row r="70" spans="10:15" x14ac:dyDescent="0.3">
      <c r="J70" s="37" t="s">
        <v>3</v>
      </c>
      <c r="K70" s="39">
        <f t="shared" si="7"/>
        <v>9.1649694501018328E-2</v>
      </c>
      <c r="L70" s="39">
        <f t="shared" si="7"/>
        <v>9.3264248704663211E-2</v>
      </c>
      <c r="M70" s="39">
        <f t="shared" si="7"/>
        <v>9.0447154471544722E-2</v>
      </c>
      <c r="N70" s="39">
        <f t="shared" si="7"/>
        <v>9.0659340659340656E-2</v>
      </c>
      <c r="O70" s="39">
        <f t="shared" si="7"/>
        <v>0.13025210084033614</v>
      </c>
    </row>
    <row r="72" spans="10:15" x14ac:dyDescent="0.3">
      <c r="J72" s="41" t="s">
        <v>26</v>
      </c>
    </row>
    <row r="74" spans="10:15" ht="26.4" x14ac:dyDescent="0.3">
      <c r="J74" s="40">
        <v>2026</v>
      </c>
      <c r="K74" s="38" t="s">
        <v>8</v>
      </c>
      <c r="L74" s="38" t="s">
        <v>7</v>
      </c>
      <c r="M74" s="38" t="s">
        <v>9</v>
      </c>
      <c r="N74" s="38" t="s">
        <v>10</v>
      </c>
      <c r="O74" s="38" t="s">
        <v>11</v>
      </c>
    </row>
    <row r="75" spans="10:15" x14ac:dyDescent="0.3">
      <c r="J75" s="42" t="s">
        <v>0</v>
      </c>
      <c r="K75" s="43">
        <f>K58*(1+K67)</f>
        <v>4520</v>
      </c>
      <c r="L75" s="43">
        <f t="shared" ref="L75:O75" si="8">L58*(1+L67)</f>
        <v>3620</v>
      </c>
      <c r="M75" s="43">
        <f t="shared" si="8"/>
        <v>9000</v>
      </c>
      <c r="N75" s="43">
        <f t="shared" si="8"/>
        <v>6850</v>
      </c>
      <c r="O75" s="43">
        <f t="shared" si="8"/>
        <v>2630</v>
      </c>
    </row>
    <row r="76" spans="10:15" x14ac:dyDescent="0.3">
      <c r="J76" s="42" t="s">
        <v>1</v>
      </c>
      <c r="K76" s="43">
        <f t="shared" ref="K76:O78" si="9">K59*(1+K68)</f>
        <v>4280</v>
      </c>
      <c r="L76" s="43">
        <f t="shared" si="9"/>
        <v>3390</v>
      </c>
      <c r="M76" s="43">
        <f t="shared" si="9"/>
        <v>8159.9999999999991</v>
      </c>
      <c r="N76" s="43">
        <f t="shared" si="9"/>
        <v>6190</v>
      </c>
      <c r="O76" s="43">
        <f t="shared" si="9"/>
        <v>3450</v>
      </c>
    </row>
    <row r="77" spans="10:15" x14ac:dyDescent="0.3">
      <c r="J77" s="42" t="s">
        <v>2</v>
      </c>
      <c r="K77" s="43">
        <f t="shared" si="9"/>
        <v>4520</v>
      </c>
      <c r="L77" s="43">
        <f t="shared" si="9"/>
        <v>3520</v>
      </c>
      <c r="M77" s="43">
        <f t="shared" si="9"/>
        <v>8560</v>
      </c>
      <c r="N77" s="43">
        <f t="shared" si="9"/>
        <v>6470</v>
      </c>
      <c r="O77" s="43">
        <f t="shared" si="9"/>
        <v>3319.9999999999995</v>
      </c>
    </row>
    <row r="78" spans="10:15" x14ac:dyDescent="0.3">
      <c r="J78" s="42" t="s">
        <v>3</v>
      </c>
      <c r="K78" s="43">
        <f t="shared" si="9"/>
        <v>5360</v>
      </c>
      <c r="L78" s="43">
        <f t="shared" si="9"/>
        <v>4220</v>
      </c>
      <c r="M78" s="43">
        <f t="shared" si="9"/>
        <v>10729.999999999998</v>
      </c>
      <c r="N78" s="43">
        <f t="shared" si="9"/>
        <v>7939.9999999999991</v>
      </c>
      <c r="O78" s="43">
        <f t="shared" si="9"/>
        <v>2690</v>
      </c>
    </row>
    <row r="80" spans="10:15" x14ac:dyDescent="0.3">
      <c r="J80" s="29" t="s">
        <v>33</v>
      </c>
    </row>
    <row r="81" spans="10:15" x14ac:dyDescent="0.3">
      <c r="J81" t="s">
        <v>34</v>
      </c>
      <c r="K81">
        <v>0.5</v>
      </c>
    </row>
    <row r="82" spans="10:15" x14ac:dyDescent="0.3">
      <c r="J82" t="s">
        <v>35</v>
      </c>
      <c r="K82">
        <v>0.3</v>
      </c>
    </row>
    <row r="83" spans="10:15" x14ac:dyDescent="0.3">
      <c r="J83" t="s">
        <v>36</v>
      </c>
      <c r="K83">
        <v>0.2</v>
      </c>
    </row>
    <row r="85" spans="10:15" ht="26.4" x14ac:dyDescent="0.3">
      <c r="J85" s="40"/>
      <c r="K85" s="38" t="s">
        <v>8</v>
      </c>
      <c r="L85" s="38" t="s">
        <v>7</v>
      </c>
      <c r="M85" s="38" t="s">
        <v>9</v>
      </c>
      <c r="N85" s="38" t="s">
        <v>10</v>
      </c>
      <c r="O85" s="38" t="s">
        <v>11</v>
      </c>
    </row>
    <row r="86" spans="10:15" x14ac:dyDescent="0.3">
      <c r="J86" s="44">
        <v>2023</v>
      </c>
      <c r="K86" s="45">
        <f>SUMIFS(Table1[Chinsu Soy Sauce],Table1[[Year]:[Year]], $J86)</f>
        <v>14150</v>
      </c>
      <c r="L86" s="45">
        <f>SUMIFS(Table1[Tam Thai Tu Soy Sauce],Table1[[Year]:[Year]], $J86)</f>
        <v>11160</v>
      </c>
      <c r="M86" s="45">
        <f>SUMIFS(Table1[Nam Ngu Fish Sauce],Table1[[Year]:[Year]], $J86)</f>
        <v>27640</v>
      </c>
      <c r="N86" s="45">
        <f>SUMIFS(Table1[Omachi instant noodle],Table1[[Year]:[Year]], $J86)</f>
        <v>20840</v>
      </c>
      <c r="O86" s="45">
        <f>SUMIFS(Table1[Bupnon Tea],Table1[[Year]:[Year]], $J86)</f>
        <v>8100</v>
      </c>
    </row>
    <row r="87" spans="10:15" x14ac:dyDescent="0.3">
      <c r="J87" s="44">
        <v>2024</v>
      </c>
      <c r="K87" s="45">
        <f>SUMIFS(Table1[Chinsu Soy Sauce],Table1[[Year]:[Year]], $J87)</f>
        <v>15540</v>
      </c>
      <c r="L87" s="45">
        <f>SUMIFS(Table1[Tam Thai Tu Soy Sauce],Table1[[Year]:[Year]], $J87)</f>
        <v>12230</v>
      </c>
      <c r="M87" s="45">
        <f>SUMIFS(Table1[Nam Ngu Fish Sauce],Table1[[Year]:[Year]], $J87)</f>
        <v>30370</v>
      </c>
      <c r="N87" s="45">
        <f>SUMIFS(Table1[Omachi instant noodle],Table1[[Year]:[Year]], $J87)</f>
        <v>22890</v>
      </c>
      <c r="O87" s="45">
        <f>SUMIFS(Table1[Bupnon Tea],Table1[[Year]:[Year]], $J87)</f>
        <v>9310</v>
      </c>
    </row>
    <row r="88" spans="10:15" x14ac:dyDescent="0.3">
      <c r="J88" s="44">
        <v>2025</v>
      </c>
      <c r="K88" s="45">
        <f>SUMIFS(Table1[Chinsu Soy Sauce],Table1[[Year]:[Year]], $J88)</f>
        <v>17110</v>
      </c>
      <c r="L88" s="45">
        <f>SUMIFS(Table1[Tam Thai Tu Soy Sauce],Table1[[Year]:[Year]], $J88)</f>
        <v>13490</v>
      </c>
      <c r="M88" s="45">
        <f>SUMIFS(Table1[Nam Ngu Fish Sauce],Table1[[Year]:[Year]], $J88)</f>
        <v>33410</v>
      </c>
      <c r="N88" s="45">
        <f>SUMIFS(Table1[Omachi instant noodle],Table1[[Year]:[Year]], $J88)</f>
        <v>25170</v>
      </c>
      <c r="O88" s="45">
        <f>SUMIFS(Table1[Bupnon Tea],Table1[[Year]:[Year]], $J88)</f>
        <v>10700</v>
      </c>
    </row>
    <row r="89" spans="10:15" x14ac:dyDescent="0.3">
      <c r="J89" s="42">
        <v>2026</v>
      </c>
      <c r="K89" s="43">
        <f>K86*$K$81+K87*$K$82+K88*$K$83</f>
        <v>15159</v>
      </c>
      <c r="L89" s="43">
        <f t="shared" ref="L89:O89" si="10">L86*$K$81+L87*$K$82+L88*$K$83</f>
        <v>11947</v>
      </c>
      <c r="M89" s="43">
        <f t="shared" si="10"/>
        <v>29613</v>
      </c>
      <c r="N89" s="43">
        <f t="shared" si="10"/>
        <v>22321</v>
      </c>
      <c r="O89" s="43">
        <f t="shared" si="10"/>
        <v>8983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Nguyen</dc:creator>
  <cp:lastModifiedBy>NGUYEN HOANG DUY</cp:lastModifiedBy>
  <dcterms:created xsi:type="dcterms:W3CDTF">2026-01-30T15:54:15Z</dcterms:created>
  <dcterms:modified xsi:type="dcterms:W3CDTF">2026-02-01T13:56:14Z</dcterms:modified>
</cp:coreProperties>
</file>